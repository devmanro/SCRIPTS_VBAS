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TPONT_HAMLIL\Desktop\WORKf ABDO\MY FILES\"/>
    </mc:Choice>
  </mc:AlternateContent>
  <bookViews>
    <workbookView xWindow="0" yWindow="0" windowWidth="24000" windowHeight="9435" activeTab="1"/>
  </bookViews>
  <sheets>
    <sheet name=" XING SHENG  (3)" sheetId="5" r:id="rId1"/>
    <sheet name="TEST" sheetId="1" r:id="rId2"/>
    <sheet name="COEFF" sheetId="2" r:id="rId3"/>
  </sheets>
  <externalReferences>
    <externalReference r:id="rId4"/>
    <externalReference r:id="rId5"/>
  </externalReferences>
  <definedNames>
    <definedName name="_xlnm._FilterDatabase" localSheetId="0" hidden="1">'[1]BROAD WEALTH'!$A$1:$L$148</definedName>
    <definedName name="_xlnm._FilterDatabase" localSheetId="1" hidden="1">TEST!$A$1:$H$546</definedName>
    <definedName name="ChronologieNative_DATE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H10" i="1" s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2" i="1"/>
  <c r="H80" i="1"/>
  <c r="H81" i="1"/>
  <c r="H82" i="1"/>
  <c r="H83" i="1"/>
  <c r="H84" i="1"/>
  <c r="H85" i="1"/>
  <c r="H86" i="1"/>
  <c r="H87" i="1"/>
  <c r="H3" i="1"/>
  <c r="H88" i="1"/>
  <c r="H89" i="1"/>
  <c r="H90" i="1"/>
  <c r="H91" i="1"/>
  <c r="H92" i="1"/>
  <c r="H93" i="1"/>
  <c r="H94" i="1"/>
  <c r="H95" i="1"/>
  <c r="H96" i="1"/>
  <c r="H97" i="1"/>
  <c r="H4" i="1"/>
  <c r="H98" i="1"/>
  <c r="H99" i="1"/>
  <c r="H100" i="1"/>
  <c r="H101" i="1"/>
  <c r="H102" i="1"/>
  <c r="H103" i="1"/>
  <c r="H104" i="1"/>
  <c r="H105" i="1"/>
  <c r="H106" i="1"/>
  <c r="H107" i="1"/>
  <c r="H5" i="1"/>
  <c r="H108" i="1"/>
  <c r="H109" i="1"/>
  <c r="H110" i="1"/>
  <c r="H6" i="1"/>
  <c r="H7" i="1"/>
  <c r="H111" i="1"/>
  <c r="H112" i="1"/>
  <c r="H113" i="1"/>
  <c r="H114" i="1"/>
  <c r="H115" i="1"/>
  <c r="H116" i="1"/>
  <c r="H8" i="1"/>
  <c r="H9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2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28" i="1"/>
  <c r="H29" i="1"/>
  <c r="H30" i="1"/>
  <c r="H31" i="1"/>
  <c r="H32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33" i="1"/>
  <c r="H212" i="1"/>
  <c r="H213" i="1"/>
  <c r="H214" i="1"/>
  <c r="H215" i="1"/>
  <c r="H34" i="1"/>
  <c r="H3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36" i="1"/>
  <c r="H237" i="1"/>
  <c r="H37" i="1"/>
  <c r="H238" i="1"/>
  <c r="H38" i="1"/>
  <c r="H239" i="1"/>
  <c r="H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40" i="1"/>
  <c r="H41" i="1"/>
  <c r="H42" i="1"/>
  <c r="H321" i="1"/>
  <c r="H322" i="1"/>
  <c r="H323" i="1"/>
  <c r="H4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44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45" i="1"/>
  <c r="H358" i="1"/>
  <c r="H359" i="1"/>
  <c r="H46" i="1"/>
  <c r="H47" i="1"/>
  <c r="H360" i="1"/>
  <c r="H361" i="1"/>
  <c r="H48" i="1"/>
  <c r="H362" i="1"/>
  <c r="H49" i="1"/>
  <c r="H363" i="1"/>
  <c r="H50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51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" i="1"/>
  <c r="H525" i="1"/>
  <c r="H526" i="1"/>
  <c r="H527" i="1"/>
  <c r="H528" i="1"/>
  <c r="H529" i="1"/>
  <c r="H530" i="1"/>
  <c r="H531" i="1"/>
  <c r="H532" i="1"/>
  <c r="H53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" i="1"/>
  <c r="G147" i="5"/>
  <c r="F147" i="5"/>
</calcChain>
</file>

<file path=xl/sharedStrings.xml><?xml version="1.0" encoding="utf-8"?>
<sst xmlns="http://schemas.openxmlformats.org/spreadsheetml/2006/main" count="2836" uniqueCount="517">
  <si>
    <t>BL</t>
  </si>
  <si>
    <t>Article</t>
  </si>
  <si>
    <t>Marchandise</t>
  </si>
  <si>
    <t>Nb Colis</t>
  </si>
  <si>
    <t>Poids Brute</t>
  </si>
  <si>
    <t>Client</t>
  </si>
  <si>
    <t>Chassis</t>
  </si>
  <si>
    <t>Modèle</t>
  </si>
  <si>
    <t>Produits</t>
  </si>
  <si>
    <t>Détails</t>
  </si>
  <si>
    <t>Surf</t>
  </si>
  <si>
    <t>MDF</t>
  </si>
  <si>
    <t>CTP</t>
  </si>
  <si>
    <t>FILM FACED PLYWOOD</t>
  </si>
  <si>
    <t>FFP</t>
  </si>
  <si>
    <t>BLOCKBOARD  / MDF</t>
  </si>
  <si>
    <t>MDF /FANCY MDF</t>
  </si>
  <si>
    <t>MELAMINE BLOCKBOARD</t>
  </si>
  <si>
    <t>MDF/ COMMERCIAL PLYWOOD /BLOCKBOARD</t>
  </si>
  <si>
    <t>CTP+MDF</t>
  </si>
  <si>
    <t>MDF / FANCY MDF</t>
  </si>
  <si>
    <t>MDF /FANCY MDF /MELAMINE PLYWOOD /COMMERCIAL PLYWOOD</t>
  </si>
  <si>
    <t>FANCY MDF</t>
  </si>
  <si>
    <t>BLOCKBOARD  /FANCY MDF / MDF /MELAMINE BLOCKBOARD</t>
  </si>
  <si>
    <t>PET MDF</t>
  </si>
  <si>
    <t>EDGE GLUED PANEL (BLOCK BOARD CORE)</t>
  </si>
  <si>
    <t>COMMERCIAL PLYWOOD /FILM FACED PLYWOOD</t>
  </si>
  <si>
    <t>CTP+FFP</t>
  </si>
  <si>
    <t>MDF /FANCY MDF /BLOCKBOARD</t>
  </si>
  <si>
    <t>GALVANISED PREPAINTED STEEL COILS</t>
  </si>
  <si>
    <t>EURL METAL TAM</t>
  </si>
  <si>
    <t>BOBINES</t>
  </si>
  <si>
    <t>4 UNITS Truck With Loading Crane / 2 BOXES ACCESSORY (VOIR BL)</t>
  </si>
  <si>
    <t>LOURD</t>
  </si>
  <si>
    <t>CAMIONS</t>
  </si>
  <si>
    <t/>
  </si>
  <si>
    <t>COLIS</t>
  </si>
  <si>
    <t>10 UNITS  WATER SPRINKLER/2  UNITS CEMENT TANK SEMI-TRAILER/2  UNITS  TRACTOR TRUCK /3 PKGS VEHICLE ACCESSORIES ( VOIR BL)</t>
  </si>
  <si>
    <t>CHINA ROAD AND BRIDGE CORPORATION</t>
  </si>
  <si>
    <t>REMORQUES</t>
  </si>
  <si>
    <t>11  SETS OF HYDRAULIC EXCAVATOR ( VOIR BL)</t>
  </si>
  <si>
    <t>ENGINS</t>
  </si>
  <si>
    <t>EXCAVATEURS</t>
  </si>
  <si>
    <t>4 SETS OF ROLLER XD90 + XS225/3 SETS OF EXCAVATOR /1 SET OF GRADER ( VOIR BL)</t>
  </si>
  <si>
    <t>COMPACTEURS</t>
  </si>
  <si>
    <t>NIVELEUSES</t>
  </si>
  <si>
    <t>3 SETS OF QUICK CONNECTOR /4  SETS OF HYDRAULIC BREAKER/9  SETS OF TILLAGE MACHINE (VOIR BL)</t>
  </si>
  <si>
    <t>13  SETS OF LOADER  ZL50G (VOIR BL)</t>
  </si>
  <si>
    <t>CHARGEURS</t>
  </si>
  <si>
    <t>7 UNITS OF TRUCK CRANE QY25K5D/7 PKGS  TRUCK CRANE  ACCESSORIES (VOIR BL)</t>
  </si>
  <si>
    <t>CAMION GRUE</t>
  </si>
  <si>
    <t>10  UNITS OF CONCRETE  TRUCK MIXER ( VOIR BL)</t>
  </si>
  <si>
    <t>6  SETS OF FORKLIFT/3  PKGS FORKLIFT ACCESSORIES ( VOIR BL)</t>
  </si>
  <si>
    <t>CHARIOT ELEVATEUR</t>
  </si>
  <si>
    <t>14 UNITS MODEL:HDYC250E-0.4F2/6 UNITS MODEL:HDB625E-0.4F2/2 UNITS MODEL:HDB500ES-0.4F2 ( VOIR BL)</t>
  </si>
  <si>
    <t>13  UNITS OF TRACTOR TRUCK /13  UNITS OF LOW-BED TRAILER ( VOIR BL)</t>
  </si>
  <si>
    <t>COMPONENTS FOR BRIDGES</t>
  </si>
  <si>
    <t>4 UNITS STREET SPRINKLER /1 UNIT REFUELLER ( VOIR BL)</t>
  </si>
  <si>
    <t>1 UNIT  TRACTOR /1 UNIT SEMI TRAILER  ( VOIR BL)</t>
  </si>
  <si>
    <t>1 UNIT HYUNDAI HX220HD EXCAVATOR ( VOIR BL)</t>
  </si>
  <si>
    <t>1 UNIT HYUNDAI HX340HD EXCAVATOR /1 UNIT A HYUNDAI BREAKER HDBB- 165Z ( VOIR BL)</t>
  </si>
  <si>
    <t>1 UNIT HYUNDAI HX220HD EXCAVATOR  (VOIR BL)</t>
  </si>
  <si>
    <t>1 UNIT HYUNDAI HX220HD EXCAVATOR (VOIR BL)</t>
  </si>
  <si>
    <t>1 UNIT DUMP TRUCK SHACMAN /1 UNIT WATER TRUCK SHACMAN F2000 ( VOIR BL)</t>
  </si>
  <si>
    <t>2 UNITS SHACMAN F2000 6X4  /1 UNIT DUMP TRUCK F2000 6X4  ( VOIR BL)</t>
  </si>
  <si>
    <t>1 UNIT JMC 3,5 TON CARGO TRUCK  ( VOIR BL)</t>
  </si>
  <si>
    <t>1 UNIT XCMG  BACKHOE LOADER XC870HK /2 UNITS AIR COMPRESSOR   (  VOIR BL)</t>
  </si>
  <si>
    <t>RETROCHARGEUR</t>
  </si>
  <si>
    <t>COMPRESSEUR D'AIR</t>
  </si>
  <si>
    <t>1 UNIT JMC 3.5 TON DUMP TRUCK ( VOIR BL)</t>
  </si>
  <si>
    <t>2 UNITS  XCMG QY25K5D TRUCK CRANE/1 UNIT HYUNDAI HW210 WHEEL EXCAVATOR</t>
  </si>
  <si>
    <t>4 UNITS XCMG  WHEEL LOADER XC938 + ZL50GN/3 UNITS XCMG  VIBRATORY ROLLER XD103 +  XS203J/2 UNITS  XCMG XC870 BACKHOE LOADER ( VOIR BL)</t>
  </si>
  <si>
    <t>1 UNIT SHACMAN NEW DUMP TRUCK F2000 (VOIR BL)</t>
  </si>
  <si>
    <t>1 UNIT SHACMAN NEW 9CBM CONCRETE MIXER TRUCK  ( VOIR BL)</t>
  </si>
  <si>
    <t>50 UNITS  JMC REFRIGERATED TRUCKS ( VOIR BL)</t>
  </si>
  <si>
    <t>1 UNIT XCMG CONCRETE PUMP TRUCK HB37V ( VOIR BL)</t>
  </si>
  <si>
    <t>1 UNIT HYUNDAI HX340HD CRAWLER EXCAVATOR ( VOIR BL)</t>
  </si>
  <si>
    <t>2 UNITS 6X6 TRUCK WITH CRANE 2638APZ/6*6/5050+1450/ NG80B/LHD/2 UNITS SHACMAN DUMP TRUCK F2000 6X4 SX3255JM384/2 UNITS LOW BED TRAILER 80 TON /2 UNITS CEMENT TRAILER 40 CBM BPW 18 TON X2 /2 UNITS FLATBED SEMI TRAILER 40 TON ( VOIR BL)</t>
  </si>
  <si>
    <t>1 UNIT LOW-BED SEMI TRAILER ( VOIR BL)</t>
  </si>
  <si>
    <t>1 UNIT HYUNDAI EXCAVATOR HX245 ( VOIR BL)</t>
  </si>
  <si>
    <t>1 UNIT XCMG XE27U(G 401)CRAWLER EXCAVATOR ( VOIR BL)</t>
  </si>
  <si>
    <t>1 UNIT SHACMAN F2000 6×4 16M3 DUMP TRUCK ( VOIR BL)</t>
  </si>
  <si>
    <t>1 UNIT SINOTRUK HOWO TX 6X4 CARGO TRUCK CHASSIS LHD MINI TRACTEUR 44 XRS ( VOIR BL)</t>
  </si>
  <si>
    <t>1 SET ISUZU EC7 3.5TON REFRIGERATOR TRUCK ( VOIR BL)</t>
  </si>
  <si>
    <t>1 UNIT SINOTRUK HOWO TX 6X4 CARGO TRUCK CHASSIS LHD (VOIR BL)</t>
  </si>
  <si>
    <t>1 UNIT SINOTRUK SITRAK G7S-P 64 480HP TRACTOR ( VOIR BL)</t>
  </si>
  <si>
    <t>1 UNIT SHACMAN 6X4 DUMP TRUCK F2000 ( VOIR BL)</t>
  </si>
  <si>
    <t>1 UNIT DUMP TRUCK ( VOIR BL)</t>
  </si>
  <si>
    <t>1 UNIT TRACTOR TRUCK ( VOIR BL)</t>
  </si>
  <si>
    <t>1 UNIT DUMP TRUCK  ( VOIR BL)</t>
  </si>
  <si>
    <t>1 UNIT SHACMAN WATER SPRINKLER TRUCK  ( VOIR BL)</t>
  </si>
  <si>
    <t>1 UNIT XCMG WHEEL LOADER ( VOIR BL)</t>
  </si>
  <si>
    <t>1 UNIT DUMP WATER TRUCK 20CBM SHACMAN F2000 ( VOIR BL)</t>
  </si>
  <si>
    <t>1 UNIT SHACMAN F2000 WATER TRUCK 20CBM ( VOIR BL)</t>
  </si>
  <si>
    <t>1 UNIT CIMC 3AXLE LOW BED TRAILER 80T ( VOIR BL)</t>
  </si>
  <si>
    <t>1 UNIT XCMG  XP203S  ROAD ROLLER ( VOIR BL)</t>
  </si>
  <si>
    <t>1 UNIT JMC B22 DOUBLE CAB DUMP TRUCK (VOIR BL)</t>
  </si>
  <si>
    <t>2 UNITS  HYUNDAI HX340HD  EXCAVATOR ( VOIR BL)</t>
  </si>
  <si>
    <t>1 UNIT JMC D70 DOUBLE CAB DUMP TMCK WHEELBASEDRIVE AXE  ( VOIR BL)</t>
  </si>
  <si>
    <t>1 UNIT XCMG MIX COMPACTOR XS143J MANUAL/1 UNIT SHACMAN F2000 6*4 DUMP TRUCK ( VOIR BL)</t>
  </si>
  <si>
    <t>1 UNIT SHACMAN F2000 6×4 290HP DUMP TRUCK  SINOTRUK HOWO TX 6×4 LHD MIXER TRUCK ( VOIR BL)</t>
  </si>
  <si>
    <t>1 UNIT  JAC TELESCOPIC  AERIAL PLATFORM TRUCK ( VOIR BL)</t>
  </si>
  <si>
    <t>1 UNIT XCMG ASPHALT PAVER RP603 ( VOIR BL)</t>
  </si>
  <si>
    <t>FINISHERS</t>
  </si>
  <si>
    <t>2 UNITS 6X6 TRUCK WITH CRANE 2638APZ/6X6/5050+1450/ NG80B/LHD ( VOIR BL)</t>
  </si>
  <si>
    <t>1 UNIT SINOTRUK HOWO TX TIPPER 6X4 DUMP TRUCK (VOIR BL)</t>
  </si>
  <si>
    <t>1 UNIT XCMG XS143J ROAD ROLLER ( VOIR BL)</t>
  </si>
  <si>
    <t>1 UNIT SINOTRUK HOWO TX 6×4 TRACTOR TRUCK ( VOIR BL)</t>
  </si>
  <si>
    <t>HOT DIPPED ALUZINC STEEL SHEET IN COILS</t>
  </si>
  <si>
    <t>HOT ROLLED STEEL COILS</t>
  </si>
  <si>
    <t>PRE-PAINTED GALVANIZED IRON COILS</t>
  </si>
  <si>
    <t>PREPAINTED STEEL COIL</t>
  </si>
  <si>
    <t>37 COILS PRIME PRE-PAINTED GALVANIZED STEEL SHEET IN COILS</t>
  </si>
  <si>
    <t>SARL EUROPANNEAUX ALGERIE</t>
  </si>
  <si>
    <t>I BEAM</t>
  </si>
  <si>
    <t>POUTRELLES</t>
  </si>
  <si>
    <t>LIFTING PLATFORM LONGITUDINAL BEAM</t>
  </si>
  <si>
    <t>PRIME HOT ROLLED STEEL H-BEAMS AND I PROFILES</t>
  </si>
  <si>
    <t>TUBING: COILED CARBON STEEL</t>
  </si>
  <si>
    <t>TUBES</t>
  </si>
  <si>
    <t>GALVANIZED WELDED PIPE</t>
  </si>
  <si>
    <t>WELDED  STEEL  PIPES,HOT  DIP  GALVANIZED</t>
  </si>
  <si>
    <t>STEEL MOULDING PLATE</t>
  </si>
  <si>
    <t>TOLES EN PLAQUES</t>
  </si>
  <si>
    <t>ADJUSTABLE PLATE</t>
  </si>
  <si>
    <t>HORIZONTAL TRUSS FLAT CONNECTION ANGLE STEEL, HORIZONTAL TRUSS DIAGONAL CONNECTING ANGLE STEEL</t>
  </si>
  <si>
    <t>SINOTRUK HOWO TX 6X4 TIPPER TRUCK</t>
  </si>
  <si>
    <t>SINOTRUK HOWO TX 8X4 TIPPER TRUCK</t>
  </si>
  <si>
    <t>4 UNITS CRAWLER EXCAVATOR + 3 UNITS CRAWLER EXCAVATOR + 2 UNITS WHEELED EXCAVATOR / MILLING EXCAVATOR / HYDRAULIC BREAKER / CRAWLER EXCAVATOR MAINTENANCE COMPONENTS / CONTERWEIGHT / TOOLBOX / EXCAVATOR PARTS / ARM  / BOOM / BUCKET / PKGS.</t>
  </si>
  <si>
    <t>2 UNITS BACKHOE LOADER + 1 UNIT MAINTENANCE PARTS</t>
  </si>
  <si>
    <t>RETROCHARGEURS</t>
  </si>
  <si>
    <t>INTERLOCKING KELLY BAR TYPE:SR40/355/4/12 TRANSPORTATION LENGTH:13.30M KELLY STUB:130X130MM SOILMEC SR40 SWIVEL:TYPE 18 TON SOILMEC SR40 / C-INTERLOCKING KELLY BAR TYPE:SR40/355/4/13 TRANSPORTATION LENGTH:14.300M KELLY STUB:130X130MM SOILMEC SR40</t>
  </si>
  <si>
    <t>DUMP TRUCK</t>
  </si>
  <si>
    <t>MIXER TRUCK</t>
  </si>
  <si>
    <t>TRACTOR TRUCK +  SEMI TRAILER</t>
  </si>
  <si>
    <t>05 UNITS CAMION FRIGORIFIQUE</t>
  </si>
  <si>
    <t>10 UNITS CAMION FRIGORIFIQUE</t>
  </si>
  <si>
    <t>HYUNDAI HX340HD EXCAVATOR</t>
  </si>
  <si>
    <t>JMC CARRYING PLUS DOUBLE CABIN DUMP TRUCK</t>
  </si>
  <si>
    <t>SHACMAN F2000 6X4 DUMP TRUCK</t>
  </si>
  <si>
    <t>SHACMAN 6X4 DUMP TRUCK</t>
  </si>
  <si>
    <t>Sprinkler Truck</t>
  </si>
  <si>
    <t>01 HOWO TX 380HP DUMP TRUCK+01 HYUNDAI EXCAVATOR HX340HD</t>
  </si>
  <si>
    <t>SHACMAN DUMP TRUCK</t>
  </si>
  <si>
    <t>SINOTRUK HOWO TX 6X4 DUMP TRUCK+SINOTRUK HOWO TX 6X4 TRACTOR TRUCK+CIMC 3 AXLES SIDEWALL TRAILER</t>
  </si>
  <si>
    <t>WATER TANK+DUMP TRUCK+WHEEL LOADER+MIXER TRUCK</t>
  </si>
  <si>
    <t>01 HYUNDAI EXACAVATOR + 01 pkg</t>
  </si>
  <si>
    <t>57 PACKAGES EXTERNAL TIMBER BEAM + 11 PACKAGES INTERNAL TIMBER BEAM + 4 PACKAGES TIMBER BEAM +34 PACKAGES COMPOSITE BOARD</t>
  </si>
  <si>
    <t>1 UNIT TRACTOR + 3 UNITS CIMENT TRUCK, BRAND: FAW</t>
  </si>
  <si>
    <t>128 PACKAGES NUDE PORTAL CRANE, WOODEN PORTAL CRANES ARE LOADED INTO 02 CONTAINERS SOC, 40HQ 19PACKAGES + 40HQ 27PACKAGES</t>
  </si>
  <si>
    <t>60 PACKAGES SUSPENDED PLATFORM FOR HIGH-ALTITUDE OPERATIONS, ALL THE GOODS ARE LOADED INTO THE CONTAINER (SOC CONTAIER) 40HQ 27PACKAGES</t>
  </si>
  <si>
    <t>13 UNITS DUMP TRUCK BRAND FAW + 2 UNITS FUELLING VEHICLE BRAND FAW + 2 UNITS TRUCK WITH CRANE BRAND FAW + 1 UNIT LOW FLATBED TRAILER + 3 UNITS SEMI TRAILER BRAND XUANWO</t>
  </si>
  <si>
    <t>117 PACKAGES STEEL FORMWORK FOR T-BEAMS + 12 PACKAGES BRIDGE DECK STEEL FORMWORK + 17 PACKAGES BRACKET STEEL FORMWORK</t>
  </si>
  <si>
    <t>1 UNIT CONCRETE TRUCK PUMP + 5 PACKAGES ACCESSORIES</t>
  </si>
  <si>
    <t>2 UNITS AIR COMPRESSOR + 1 UNIT TUBE COILING MACHINE + 4 PACKAGES GENERATOR SET</t>
  </si>
  <si>
    <t>134 PACKAGES ALL THE GOODS ARE LOADED INTO 04 CONTAINERS (SOC CONTAIER 40HQ 30PACKAGES + SOC CONTAIER 40HQ 29PACKAGES + SOC CONTAIER 40HQ 41PACKAGES + SOC CONTAIER 40HQ 30PACKAGES)</t>
  </si>
  <si>
    <t>01 JMC DOUBLE CAB DUMP + 01 JMC DOUBLE CAB CARGO TRUCK + 01 ISUZU 5 TON 4X2 CARGO TRUCK</t>
  </si>
  <si>
    <t>JMC FLATBED TRUCK SINGLE CABIN</t>
  </si>
  <si>
    <t>JMC CARGO TRUCK</t>
  </si>
  <si>
    <t>ISUZU CARGO TRUCK</t>
  </si>
  <si>
    <t>CAMION LEGER 03 TONNE+ CAMION 10 TONNE PLATEAU</t>
  </si>
  <si>
    <t>FLATBED TRUCK JMC</t>
  </si>
  <si>
    <t>AERIAL WORK TRUCK + DUMP TRUCK + FLATBED TRUCK</t>
  </si>
  <si>
    <t>JMC FLATBED TRUCK SINGLE CABIN + JMC FLATBED TRUCK DOUBLE CABIN + JMC DUMP TRUCK SINGLE CABIN</t>
  </si>
  <si>
    <t>DUMP TRUCK JMC T822</t>
  </si>
  <si>
    <t>01 JMC T822 DUMP TRUCK DOUBLE CABIN</t>
  </si>
  <si>
    <t>NEW SITRAK 6X4 TRACTOR TRUCK + NEW SITRAK 4X2 TRACTOR TRUCK</t>
  </si>
  <si>
    <t>01 UNIT SINOTRUK SITRAK 4X2 TRACTOR-AUTOMATIC</t>
  </si>
  <si>
    <t>01 SINOTRUK HOWO 4X2 LIGHT TRUCK</t>
  </si>
  <si>
    <t>EURL GUERIOUNE IMPORT</t>
  </si>
  <si>
    <t>01 UNIT SINOTRUK HOWO TX 4X2 CARGO TRUCK</t>
  </si>
  <si>
    <t>01 UNIT 6*4 TRACTOR AUTOMATIC GEAR BOX LHD</t>
  </si>
  <si>
    <t>02 UNITS SINOTRUK</t>
  </si>
  <si>
    <t>1 SINOTRUK SITRAK 4X2 TRACTOR-MANUAL GEARBOX LHD</t>
  </si>
  <si>
    <t>24 UNITS TRUCKS</t>
  </si>
  <si>
    <t>01 UNIT SHACMAN F2000 6X4</t>
  </si>
  <si>
    <t>05 UNITS (SINOTRUK SITRAK + SINOTRUK HOWO + SINOTRUK SITRAK 6X4 + SINOTRUK + XCMG)</t>
  </si>
  <si>
    <t>01 UNIT SHACMAN F2000</t>
  </si>
  <si>
    <t>01 UNIT SINOTRUK</t>
  </si>
  <si>
    <t>1 UNIT SINOTRUK</t>
  </si>
  <si>
    <t>1 UNIT SINOTRUK HOWO</t>
  </si>
  <si>
    <t>02 UNITS (SITRAK C7H TRACTOR TRUCK + ISUZU NPR 700P)</t>
  </si>
  <si>
    <t>02 UNITS (SITRAK G7 TRACTOR TRUCK 6X4 + ISUZU NPR 700P)</t>
  </si>
  <si>
    <t>03 UNITS (SITRAK G7 TRACTOR TRUCK 6X4 + SITRAK G7 DUMP TRUCK 8X4 + ISUZU NPR 700P)</t>
  </si>
  <si>
    <t>1 UNITSHACMAN F2000</t>
  </si>
  <si>
    <t>1 UNIT SHACMAN F2000</t>
  </si>
  <si>
    <t>1 UNITS  SINOTRUK SITRAK</t>
  </si>
  <si>
    <t>SINOTRUK SPARE PARTS</t>
  </si>
  <si>
    <t>02 UNITS (EXCAVATOR HENGWANG HWL-150 + EXCAVATOR HENGWANG HW-240)</t>
  </si>
  <si>
    <t>01 UNIT SINOTRUK HOWO</t>
  </si>
  <si>
    <t>nbr coli</t>
  </si>
  <si>
    <t>XS26105LDJD001</t>
  </si>
  <si>
    <t>Lianyung</t>
  </si>
  <si>
    <t>CIMC 2 AXLE SIDEWALL TRAILER</t>
  </si>
  <si>
    <t>EURL EPTTRS</t>
  </si>
  <si>
    <t>XS26105LDJD002</t>
  </si>
  <si>
    <t>CIMC 3 AXLE SIDEWALL TRAILER</t>
  </si>
  <si>
    <t>DJEMA KAMAL</t>
  </si>
  <si>
    <t>XS26105LDJD003</t>
  </si>
  <si>
    <t>CIMC 3 AXLE CEMENT TANK TRAILER</t>
  </si>
  <si>
    <t>SARL ACIER BETON MOSTAGANEM (ABM)</t>
  </si>
  <si>
    <t>XS26105LDJD004</t>
  </si>
  <si>
    <t>CIMC 3 AXLE LOW BED TRAILER + CIMC 3 AXLE SIDEWALL TRAILER</t>
  </si>
  <si>
    <t>AZIZI ABDELAZIZ</t>
  </si>
  <si>
    <t>XS26105LDJD005</t>
  </si>
  <si>
    <t>XCMG MINI EXCAVATOR XE35 U</t>
  </si>
  <si>
    <t>SARL LOUIFI PROJECTS</t>
  </si>
  <si>
    <t>XS26105LDJD006</t>
  </si>
  <si>
    <t>HYUNDAI EXCAVATOR HX340HD</t>
  </si>
  <si>
    <t>MERCHICHI BILAL</t>
  </si>
  <si>
    <t>XS26105LDJD007</t>
  </si>
  <si>
    <t>SARL BENAIDA TP</t>
  </si>
  <si>
    <t>XS26105LDJD008</t>
  </si>
  <si>
    <t>SINOTRUCK HOWO TX 6X4 TIPPER TRUCK LHD-16</t>
  </si>
  <si>
    <t>AMARA NASSER</t>
  </si>
  <si>
    <t>XS26105LDJD009</t>
  </si>
  <si>
    <t>LARDJAM BOUZID</t>
  </si>
  <si>
    <t>XS26105LDJD010</t>
  </si>
  <si>
    <t>CAMION SHACMAN F2000 6X4 DUMP TRUCK</t>
  </si>
  <si>
    <t>MAGHREB LEASING ALGERIE SPA FOR THE ACCOUNT OF LAH</t>
  </si>
  <si>
    <t>XS26105LDJD011</t>
  </si>
  <si>
    <t>SARL CONCASSAGE ESSALEM</t>
  </si>
  <si>
    <t>XS26105LDJD012</t>
  </si>
  <si>
    <t>SHACMAN F2000 64 DUMP TRUCK</t>
  </si>
  <si>
    <t>BOUNAB ALI</t>
  </si>
  <si>
    <t>XS26105LDJD013</t>
  </si>
  <si>
    <t>EURL BATRACOV</t>
  </si>
  <si>
    <t>XS26105LDJD014</t>
  </si>
  <si>
    <t>EURL MOEZ BATIMENT</t>
  </si>
  <si>
    <t>XS26105LDJD015</t>
  </si>
  <si>
    <t>SARL AL BRIK SERVICE GENERAL</t>
  </si>
  <si>
    <t>XS26105LDJD016</t>
  </si>
  <si>
    <t>EURL DOUROUB AL AIMAR SERVICES</t>
  </si>
  <si>
    <t>XS26105LDJD017</t>
  </si>
  <si>
    <t>EURL ETPH TAKLIT LAHCENE</t>
  </si>
  <si>
    <t>XS26105LDJD018</t>
  </si>
  <si>
    <t>SINOTRUK TX 8X4 MIXER TRUCK LHD -12CBM</t>
  </si>
  <si>
    <t>XS26105LDJD019</t>
  </si>
  <si>
    <t>CIMC 3 AXLE CEMENT TANK TRAILER + CIMC 3 AXEL TIPPER TRAILEER</t>
  </si>
  <si>
    <t>MAGHREB LEASING ALGERIE SPA FOR THE ACCOUNT OF SAR</t>
  </si>
  <si>
    <t>XS26105LDJD020</t>
  </si>
  <si>
    <t>2PACKAGES (1 UNIT) HYUNDAI EXCAVATOR HX340HD + 2PACKAGES (1 UNIT) XCMG WHEEL LOADER XC958</t>
  </si>
  <si>
    <t>SARL ETTPMA</t>
  </si>
  <si>
    <t>XS26105LDJD022</t>
  </si>
  <si>
    <t>2 PACKAGES (1 UNIT) XCMG WHEEL LOADER ZL50GN</t>
  </si>
  <si>
    <t>SARL BATI SERVICES PROJECTS</t>
  </si>
  <si>
    <t>XS26105LDJD023</t>
  </si>
  <si>
    <t>SARL ANOUMIRAT DES ENTREPRISES</t>
  </si>
  <si>
    <t>XS26105LDJD024</t>
  </si>
  <si>
    <t>SHACMAN F2000 6x4 DUMP TRUCK</t>
  </si>
  <si>
    <t>SARL DELMAROUTE</t>
  </si>
  <si>
    <t>XS26105LDJD025</t>
  </si>
  <si>
    <t>SHACMAN F3000 8X4 DUMP TRUCK</t>
  </si>
  <si>
    <t>XS26105LDJD026</t>
  </si>
  <si>
    <t>FLATBED SEMI-TRAILER WITH SEDEWALL QTY: 01(BRAND NEW)</t>
  </si>
  <si>
    <t>SARL COCOB</t>
  </si>
  <si>
    <t>XS26105LDJD027</t>
  </si>
  <si>
    <t>SINOTRUK HOWO TX 6X4 TIPPER</t>
  </si>
  <si>
    <t>SAFI BOUALEM MAHMOUD</t>
  </si>
  <si>
    <t>XS26105LDJD028</t>
  </si>
  <si>
    <t>3 PACKAGES (1 UNIT) DEVELON DX360LCA-7B EXCAVATOR</t>
  </si>
  <si>
    <t>SARL AMIMAAMAR LIL ACHEGHAL EL OUMOUMIA</t>
  </si>
  <si>
    <t>XS26105LDJD029</t>
  </si>
  <si>
    <t>2 PACKAGES (1 UNIT) EXCAVATOR HX340HD HYUNDAI</t>
  </si>
  <si>
    <t>EURL INCON ENTREPRISES ET SERVICES GENERAL</t>
  </si>
  <si>
    <t>XS26105LDJD030</t>
  </si>
  <si>
    <t>EXCAVATOR HX340HD HYUNDAI 2025, QTY: 01 (BRAND NEW)</t>
  </si>
  <si>
    <t>SARL TROPICAL TP</t>
  </si>
  <si>
    <t>XS26105LDJD031</t>
  </si>
  <si>
    <t>HAMIDANI ABDELKRIM</t>
  </si>
  <si>
    <t>XS26105LDJD032</t>
  </si>
  <si>
    <t>SNC KAMANI MANI ET ASSOCIERS</t>
  </si>
  <si>
    <t>XS26105LDJD033</t>
  </si>
  <si>
    <t>2PACKAGES (1 UNIT) HYUNDAI EXCAVATOR</t>
  </si>
  <si>
    <t>SARL ATPL</t>
  </si>
  <si>
    <t>XS26105LDJD034</t>
  </si>
  <si>
    <t>3PACKAGES(1UNIT) BRAND NEW 2026 HYUNDAI EXCAVATOR</t>
  </si>
  <si>
    <t>ARIBI TAHAR</t>
  </si>
  <si>
    <t>XS26105LDJD035</t>
  </si>
  <si>
    <t>2PACKAGES(1UNIT) HYUNDAI EXCAVATOR</t>
  </si>
  <si>
    <t>EURL SKY SUD</t>
  </si>
  <si>
    <t>XS26105LDJD036</t>
  </si>
  <si>
    <t>4PACKAGES(2UNITS)+BRAND NEW 2026 HYNDAI EXCAVATOR HX340HD</t>
  </si>
  <si>
    <t>ETPH HENKA DJAAFAR</t>
  </si>
  <si>
    <t>XS26105LDJD037</t>
  </si>
  <si>
    <t>EURL HAMED SERVICES GENERAL</t>
  </si>
  <si>
    <t>XS26105LDJD038</t>
  </si>
  <si>
    <t>SARL ELBOCHRA CONSTRUCTION</t>
  </si>
  <si>
    <t>XS26105LDJD039</t>
  </si>
  <si>
    <t>6PACKAGES(3UNITS) HYUNDAI EXCAVATOR</t>
  </si>
  <si>
    <t>E.U.R.L SOTRASOUF GRANDS TRAVAUX</t>
  </si>
  <si>
    <t>XS26105LDJD040</t>
  </si>
  <si>
    <t>CIMC HFO TANKER SEMI-TRAILER</t>
  </si>
  <si>
    <t>SARL GOLD SALMI</t>
  </si>
  <si>
    <t>XS26105LDJD041</t>
  </si>
  <si>
    <t>CIMC CEMENT TRAILER</t>
  </si>
  <si>
    <t>XS26105LDJD042</t>
  </si>
  <si>
    <t>CIMC 50T FENCE TRAILER</t>
  </si>
  <si>
    <t>SARL BOSKADOR SERVICE</t>
  </si>
  <si>
    <t>XS26105LDJD043</t>
  </si>
  <si>
    <t>EURL AL MAHMOUD SERVICES</t>
  </si>
  <si>
    <t>XS26105LDJD044</t>
  </si>
  <si>
    <t>HOWO TX TRACTOR TRUCK</t>
  </si>
  <si>
    <t>SARL FRERES AISSAOUI SERVICES</t>
  </si>
  <si>
    <t>XS26105LDJD045</t>
  </si>
  <si>
    <t>HOWO TX 4*2 CARGO TRUCK</t>
  </si>
  <si>
    <t>SARL GROUPE AISSAOUI</t>
  </si>
  <si>
    <t>XS26105LDJD046</t>
  </si>
  <si>
    <t>HOWO TX 6*4 CARGO TRUCK</t>
  </si>
  <si>
    <t>EURL SHINE WAY</t>
  </si>
  <si>
    <t>XS26105LDJD047</t>
  </si>
  <si>
    <t>3PACKAGES (1UNIT) XCMG WHEEL LOADER ZL50GN WITH ACCESSORIES</t>
  </si>
  <si>
    <t>SARL YUSR TRAVAUX PUBLICS GENERAL</t>
  </si>
  <si>
    <t>XS26105LDJD048</t>
  </si>
  <si>
    <t>3PACKAGES(1UNIT) XCMG WHEEL LOADER WITH ACCESSORIES</t>
  </si>
  <si>
    <t>XS26105LDJD049</t>
  </si>
  <si>
    <t>2PACKAGES (1PACKAGE PLATE COMPACTOR + 1 PACKAGE BREAKING HAMMER), (2UNITS) MINI EXCAVATOR</t>
  </si>
  <si>
    <t>SARL BENRECHID ZOUAOUI</t>
  </si>
  <si>
    <t>XS26105LDJD050</t>
  </si>
  <si>
    <t>SARL AFAK LILACHEGHAL</t>
  </si>
  <si>
    <t>XS26105LDJD051</t>
  </si>
  <si>
    <t>SAIDAT DJAMAL</t>
  </si>
  <si>
    <t>XS26105LDJD052</t>
  </si>
  <si>
    <t>THREE SETS OF TRAILER MOUNTED CONCRETE PUMP + TWELVE PACKAGES OF TRAILER MOUNTED CONCRETE PUMP ACCESSORIES</t>
  </si>
  <si>
    <t>XS26105LDJD056</t>
  </si>
  <si>
    <t>CRAWLER EXCAVATOR HYNDAI (2PACKAGES=1 UNIT)</t>
  </si>
  <si>
    <t>LEMOUARI SAID</t>
  </si>
  <si>
    <t>XS26105LDJD057</t>
  </si>
  <si>
    <t>CRAWLER EXCAVATOR</t>
  </si>
  <si>
    <t>MENHANE AZZEDDINE</t>
  </si>
  <si>
    <t>XS26105LDJD058</t>
  </si>
  <si>
    <t>BRAND NEW SHACMAN F2000 DUMP TRUCK</t>
  </si>
  <si>
    <t>AIT ELDJOUDI MOHAND OURAMTANE</t>
  </si>
  <si>
    <t>XS26105LDJD059</t>
  </si>
  <si>
    <t>SHACMAN 4X2 X9 DUMP TRUCK</t>
  </si>
  <si>
    <t>SOLTANE ABDELAZIZ</t>
  </si>
  <si>
    <t>XS26105LDJD061113</t>
  </si>
  <si>
    <t>2025 JMC 4X2 DUMP TRUCK + F2000 DUMP TRUCK 6X4</t>
  </si>
  <si>
    <t>DEGHICHE LOUNES</t>
  </si>
  <si>
    <t>XS26105LDJD062</t>
  </si>
  <si>
    <t>CAMION SHACMAN F2000 DUMP TRUCK</t>
  </si>
  <si>
    <t>REDJAI DJAMAL</t>
  </si>
  <si>
    <t>XS26105LDJD063</t>
  </si>
  <si>
    <t>SHACMAN F2000 DUMP TRUCK</t>
  </si>
  <si>
    <t>EURL ALWYAAD PIP</t>
  </si>
  <si>
    <t>XS26105LDJD065</t>
  </si>
  <si>
    <t>SINOTRUK HOWO TX 6X4 TIPPER TRUCK LHD-18 CBM</t>
  </si>
  <si>
    <t>SARL MAID</t>
  </si>
  <si>
    <t>XS26105LDJD066</t>
  </si>
  <si>
    <t>SINOTRUK HOWO TX 6X4 DUMP TRUCK LHD</t>
  </si>
  <si>
    <t>BENFAHIMA FOUAD</t>
  </si>
  <si>
    <t>XS26105LDJD067</t>
  </si>
  <si>
    <t>SINO TRUCK HOWO TX 6X4 MIXER TRUCK LHD-10 CBM + SINO TRUCK HOWO TX 4X2 TRACTOR TRUCK LHD</t>
  </si>
  <si>
    <t>SARL F M C E</t>
  </si>
  <si>
    <t>XS26105LDJD068</t>
  </si>
  <si>
    <t>1 PACKAGE=2 UNITS / +13 METER 3-AXLE DROPSIDE SEMI TRAILER /+13 METER 4-AXLE DROPSIDE SEMI TRAILER</t>
  </si>
  <si>
    <t>SARL FRERES TIR IMPORT EXPORT</t>
  </si>
  <si>
    <t>XS26105LDJD069</t>
  </si>
  <si>
    <t>SINOTRUK HOWO TX 6X4 SPRINKLER TRUCK LHD</t>
  </si>
  <si>
    <t>XS26105LDJD071</t>
  </si>
  <si>
    <t>02 SINOTRUK SITRAK 4X2 TRACTOR AUTOMATIC GEARBOX LHD (BRAND NEW)</t>
  </si>
  <si>
    <t>EURL ARTPAP</t>
  </si>
  <si>
    <t>XS26105LDJD072A</t>
  </si>
  <si>
    <t>TRACTOR TRUCK SHACMAN X3000 NEW MACHINE</t>
  </si>
  <si>
    <t>SNC HAOUAM ET FRERES REALISATION</t>
  </si>
  <si>
    <t>XS26105LDJD072B</t>
  </si>
  <si>
    <t>CONCRETE MIXER HOWO NEW</t>
  </si>
  <si>
    <t>XS26105LDJD073</t>
  </si>
  <si>
    <t>XS26105LDJD074</t>
  </si>
  <si>
    <t>WHEEL LOADER XCMG ZL50GN + 1 PKG</t>
  </si>
  <si>
    <t>XS26105LDJD075</t>
  </si>
  <si>
    <t>WHEEL LOADER+FORKLIFT+CONCRETE MIXER</t>
  </si>
  <si>
    <t>XS26105LDJD076</t>
  </si>
  <si>
    <t>1 XCMG BRAND NEW</t>
  </si>
  <si>
    <t>BEGGARI RAMDANE</t>
  </si>
  <si>
    <t>XS26105LDJD077</t>
  </si>
  <si>
    <t>1 XCMG BRAND NEW ROAD ROLLER + 1 XCMG BRAND NEW MOTER GRADER + 1 XCMG BRAND NEW PAVER + PKGS</t>
  </si>
  <si>
    <t>CHALANI BACHIR</t>
  </si>
  <si>
    <t>XS26105LDJD078</t>
  </si>
  <si>
    <t>SHACMAN F2000 9CBM MIXER TRUCK</t>
  </si>
  <si>
    <t>SARL LAMOU TRAVAUX PUBLICS</t>
  </si>
  <si>
    <t>XS26105LDJD079</t>
  </si>
  <si>
    <t>CIMC 3 AXLES LOWBED SEMI TRAILER</t>
  </si>
  <si>
    <t>SARL TRAGESCO</t>
  </si>
  <si>
    <t>XS26105LDJD080</t>
  </si>
  <si>
    <t>CIMC 40CBM HORIZONTAL BULK CEMENT</t>
  </si>
  <si>
    <t>GUITOUBI DJAFAR</t>
  </si>
  <si>
    <t>XS26105LDJD081</t>
  </si>
  <si>
    <t>CIMC 3 AXLE FLATBED</t>
  </si>
  <si>
    <t>XS26105LDJD082</t>
  </si>
  <si>
    <t>LONKING 5 TON DIESEL FORKLIFT</t>
  </si>
  <si>
    <t>SNC FRERES BOUSSETIOU</t>
  </si>
  <si>
    <t>XS26105LDJD084</t>
  </si>
  <si>
    <t>02 SHACMAN DUMP TRUCK + 02 SHACMAN F2000 CONCRETE MIXER TRUCK</t>
  </si>
  <si>
    <t>SARL SIFOR SONDAGE FORAGE &amp; INJECTION</t>
  </si>
  <si>
    <t>XS26105LDJD086A</t>
  </si>
  <si>
    <t>HOWO 8X4 12M3 MIXER TRUCK</t>
  </si>
  <si>
    <t>ETS KHEIREDDINE SAID</t>
  </si>
  <si>
    <t>XS26105LDJD086B</t>
  </si>
  <si>
    <t>XCMG TRUCK CRANE + 01 PKG</t>
  </si>
  <si>
    <t>XS26105LDJD087</t>
  </si>
  <si>
    <t>HAMMER BREAKER</t>
  </si>
  <si>
    <t>EURL RIADH LISSINAA WA MOUKAWALAT</t>
  </si>
  <si>
    <t>XS26105LDJD088</t>
  </si>
  <si>
    <t>ROAD ROLLER</t>
  </si>
  <si>
    <t>SARL LEADING BRIDGES SERVICES</t>
  </si>
  <si>
    <t>XS26105LDJD089</t>
  </si>
  <si>
    <t>CIMC LOWBED SEMI-TRAILER WITH TRI-AXLE</t>
  </si>
  <si>
    <t>YACINE RACHID</t>
  </si>
  <si>
    <t>XS26105LDJD090</t>
  </si>
  <si>
    <t>CIMC 70TON TRAILER</t>
  </si>
  <si>
    <t>SARL CONSTRUCTION ROCHER</t>
  </si>
  <si>
    <t>XS26105LDJD092</t>
  </si>
  <si>
    <t>ISUSZU PICKUP</t>
  </si>
  <si>
    <t>SARL MERZELKAD IMMO</t>
  </si>
  <si>
    <t>XS26105LDJD093</t>
  </si>
  <si>
    <t>CONCRETE PUMP</t>
  </si>
  <si>
    <t>EURL TRAVAZ TRAVAUX GENERAL</t>
  </si>
  <si>
    <t>XS26105LDJD094</t>
  </si>
  <si>
    <t>SINOTRUK HOWO TIPPER TRUCK</t>
  </si>
  <si>
    <t>ROUAS MOHAND</t>
  </si>
  <si>
    <t>XS26105LDJD095</t>
  </si>
  <si>
    <t>01 SINOTRUK HOWO CARGO TRUCK</t>
  </si>
  <si>
    <t>XS26105LDJD096</t>
  </si>
  <si>
    <t>02 SINOTRUK SITRAK 6X4 TRACTOR FOR HEAVY LOAD</t>
  </si>
  <si>
    <t>SARL BOUDI LOGISTIQUE ALGERIE</t>
  </si>
  <si>
    <t>XS26105LDJD097</t>
  </si>
  <si>
    <t>SINOTRUK SITRAK 6X4 TRACTOR MANUAL GEARBOX LHD</t>
  </si>
  <si>
    <t>SNC FRERES AGOUNE</t>
  </si>
  <si>
    <t>XS26105LDJD098</t>
  </si>
  <si>
    <t>SINOTRUK HOWO 4X2 LIGHT TRUCK</t>
  </si>
  <si>
    <t>SARL MOUSSAOUIAT 2014</t>
  </si>
  <si>
    <t>XS26105LDJD099</t>
  </si>
  <si>
    <t>XS26105LDJD100</t>
  </si>
  <si>
    <t>SARL BATI SUD 2000</t>
  </si>
  <si>
    <t>XS26105LDJD101</t>
  </si>
  <si>
    <t>SINOTRUCK SITRAK 6X4TRACTOR-AUTOMATIC GEARBOX LHD</t>
  </si>
  <si>
    <t>EURL MELAKHESSOU YOUCEF</t>
  </si>
  <si>
    <t>XS26105LDJD102</t>
  </si>
  <si>
    <t>SINOTRUK SITRAK 4X2 TRACTOR-MANUAL GEARBOX LHD</t>
  </si>
  <si>
    <t>EURL OLEOHIDRAULICA</t>
  </si>
  <si>
    <t>XS26105LDJD103</t>
  </si>
  <si>
    <t>SINOTRUCK SITRAK 8X4 TIPPER TRUCK LHD</t>
  </si>
  <si>
    <t>EURL NEW VISION LOGISTIQUE</t>
  </si>
  <si>
    <t>XS26105LDJD104</t>
  </si>
  <si>
    <t>SINOTRUK HOWO TX CONCRETE PUMP TRUCK LHD-37M</t>
  </si>
  <si>
    <t>EURL TRUST SUD</t>
  </si>
  <si>
    <t>XS26105LDJD105</t>
  </si>
  <si>
    <t>SPARE PARTS</t>
  </si>
  <si>
    <t>XS26105LDJD106</t>
  </si>
  <si>
    <t>SINOTRUK SITRAK 6X4 MIXER TRUCK LHD-MANUAL GEARBOX</t>
  </si>
  <si>
    <t>HADJ BRAHIM MESSAOUD</t>
  </si>
  <si>
    <t>XS26105LDJD107</t>
  </si>
  <si>
    <t>01 SINOTRUK HOWO 6X4 MIXER TRUCK</t>
  </si>
  <si>
    <t>BENSMAINE RABAH</t>
  </si>
  <si>
    <t>XS26105LDJD108</t>
  </si>
  <si>
    <t>JMC DOUBLE CAB DUMP TRUCK</t>
  </si>
  <si>
    <t>XS26105LDJD109</t>
  </si>
  <si>
    <t>SHACMAN F2000 6*4 DUMP TRUCK</t>
  </si>
  <si>
    <t>HAMDI RADHWANE</t>
  </si>
  <si>
    <t>XS26105LDJD053</t>
  </si>
  <si>
    <t>FORTY UNITS OF TRUCK CRANE + FORTY PKGS OF TRUCK CRANE ACCESSORIES</t>
  </si>
  <si>
    <t>XS26105LDJD110</t>
  </si>
  <si>
    <t>02 UNITS SINOTRUK SITRAK G7S 6X4 TRACTOR TRUCK</t>
  </si>
  <si>
    <t>EURL MIMOUN BOISSONS</t>
  </si>
  <si>
    <t>XS26105LDJD111</t>
  </si>
  <si>
    <t>CHARGEUSE COMPACTE SKID STEEL LOADER +1 PKG</t>
  </si>
  <si>
    <t>LOGHBI SAFIA</t>
  </si>
  <si>
    <t>XS26105LDJD112</t>
  </si>
  <si>
    <t>XCMG ROAD ROLLER</t>
  </si>
  <si>
    <t>XS26105TDJD012</t>
  </si>
  <si>
    <t>Tianjin</t>
  </si>
  <si>
    <t>PIPE SEAMLESS</t>
  </si>
  <si>
    <t>SH – DIRECTION CENTRALE ENGINEERING &amp; PROJE</t>
  </si>
  <si>
    <t>XS26105TDJD013</t>
  </si>
  <si>
    <t>PIPE</t>
  </si>
  <si>
    <t>XS26105TDJD024032</t>
  </si>
  <si>
    <t>carbon steel seamless pipe 7304191000 161 PACKAGES CARBON STEEL ELBOW 7307930000 1 PACKAGE CARBON STEEL INSULATING JOINT 73269090 1 PACKAGE</t>
  </si>
  <si>
    <t>SARL ICM EST</t>
  </si>
  <si>
    <t>XS26105TDJD03839</t>
  </si>
  <si>
    <t>SEAMLESS STEEL PIPE</t>
  </si>
  <si>
    <t>XS26105TDJD014</t>
  </si>
  <si>
    <t>ANGLE STEEL</t>
  </si>
  <si>
    <t>SARL GM PA</t>
  </si>
  <si>
    <t>CORNIERES</t>
  </si>
  <si>
    <t>XS26105TDJD001</t>
  </si>
  <si>
    <t>SARL ILOOK</t>
  </si>
  <si>
    <t>XS26105TDJD002003</t>
  </si>
  <si>
    <t>60 COILS OF PREPAINTED STEEL COIL + 17 COILS OF HOT DIPPED GALVANISED STEEL STRIP</t>
  </si>
  <si>
    <t>SES SARL</t>
  </si>
  <si>
    <t>XS26105TDJD006</t>
  </si>
  <si>
    <t>PREPAINTED GALVANISED STEEL SHEET IN COILS</t>
  </si>
  <si>
    <t>XS26105TDJD008-010</t>
  </si>
  <si>
    <t>HOT DIP GALVANIZED STEEL STRIP</t>
  </si>
  <si>
    <t>EURL ECOLOGE</t>
  </si>
  <si>
    <t>XS26105TDJD011</t>
  </si>
  <si>
    <t>XS26105TDJD015</t>
  </si>
  <si>
    <t>PRE-PAINTED GALVANISED STEEL COILS</t>
  </si>
  <si>
    <t>SPA BORDJ STEEL</t>
  </si>
  <si>
    <t>XS26105TDJD01620</t>
  </si>
  <si>
    <t>FEUILLARD GALVANISE</t>
  </si>
  <si>
    <t>BENOUATAS INDUSTRIE SARL</t>
  </si>
  <si>
    <t>XS26105TDJD021023A</t>
  </si>
  <si>
    <t>PREPAINTED GALVANIZED STEEL COILS</t>
  </si>
  <si>
    <t>XS26105TDJD021023B</t>
  </si>
  <si>
    <t>XS26105TDJD021023C</t>
  </si>
  <si>
    <t>XS26105TDJD025026</t>
  </si>
  <si>
    <t>ZINC-ALUMINIUM-MAGNESIUM COATED STEEL HOT DIPPED GALVANIZED STEEL COILS</t>
  </si>
  <si>
    <t>SARL SYSTEMES PANNEAUX SANDWICHS</t>
  </si>
  <si>
    <t>XS26105TDJD027313334</t>
  </si>
  <si>
    <t>XS26105TDJD035037</t>
  </si>
  <si>
    <t>EURL PROFILO METTAL</t>
  </si>
  <si>
    <t>XS26105TDJD040</t>
  </si>
  <si>
    <t>EURL MAGHREB PROFIL PRO</t>
  </si>
  <si>
    <t>Coeff</t>
  </si>
  <si>
    <t>N/A</t>
  </si>
  <si>
    <t>old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</si>
</sst>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rgb="FF7030A0"/>
      <name val="Times New Roman"/>
      <family val="1"/>
    </font>
    <font>
      <sz val="10"/>
      <color rgb="FFFF0000"/>
      <name val="Arial"/>
      <family val="2"/>
    </font>
    <font>
      <sz val="12"/>
      <color theme="1"/>
      <name val="Times New Roman"/>
      <family val="1"/>
    </font>
    <font>
      <sz val="9.6"/>
      <color rgb="FF2E2B29"/>
      <name val="Arial"/>
      <family val="2"/>
    </font>
    <font>
      <sz val="9.6"/>
      <color rgb="FF2E2B29"/>
      <name val="Arial"/>
      <family val="2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Calibri"/>
      <family val="2"/>
      <scheme val="minor"/>
    </font>
    <font>
      <b/>
      <sz val="12"/>
      <color rgb="FF9C6500"/>
      <name val="Times New Roman"/>
      <family val="1"/>
    </font>
    <font>
      <sz val="12"/>
      <color rgb="FF0061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CFAF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3" fillId="4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2" fontId="3" fillId="0" borderId="0" xfId="1" applyNumberFormat="1" applyFont="1" applyAlignment="1">
      <alignment horizontal="center" vertical="center"/>
    </xf>
    <xf numFmtId="0" fontId="3" fillId="0" borderId="0" xfId="2" applyFont="1" applyFill="1" applyAlignment="1">
      <alignment horizontal="left" vertical="center"/>
    </xf>
    <xf numFmtId="0" fontId="3" fillId="0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/>
    </xf>
    <xf numFmtId="0" fontId="3" fillId="5" borderId="0" xfId="2" applyFont="1" applyFill="1" applyAlignment="1">
      <alignment horizontal="center" vertical="center"/>
    </xf>
    <xf numFmtId="0" fontId="3" fillId="5" borderId="0" xfId="2" applyFont="1" applyFill="1" applyAlignment="1">
      <alignment horizontal="left" vertical="center"/>
    </xf>
    <xf numFmtId="0" fontId="3" fillId="6" borderId="0" xfId="2" applyFont="1" applyFill="1" applyAlignment="1">
      <alignment horizontal="center" vertical="center"/>
    </xf>
    <xf numFmtId="0" fontId="3" fillId="6" borderId="0" xfId="2" applyFont="1" applyFill="1" applyAlignment="1">
      <alignment horizontal="left" vertical="center"/>
    </xf>
    <xf numFmtId="0" fontId="3" fillId="7" borderId="0" xfId="2" applyFont="1" applyFill="1" applyAlignment="1">
      <alignment horizontal="center" vertical="center"/>
    </xf>
    <xf numFmtId="0" fontId="3" fillId="7" borderId="0" xfId="2" applyFont="1" applyFill="1" applyAlignment="1">
      <alignment horizontal="left" vertical="center"/>
    </xf>
    <xf numFmtId="0" fontId="3" fillId="4" borderId="0" xfId="2" applyFont="1" applyFill="1" applyAlignment="1">
      <alignment horizontal="left" vertical="center"/>
    </xf>
    <xf numFmtId="0" fontId="3" fillId="4" borderId="0" xfId="2" applyFont="1" applyFill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0" fontId="5" fillId="0" borderId="0" xfId="3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9" borderId="0" xfId="0" applyFont="1" applyFill="1" applyAlignment="1">
      <alignment vertical="center" wrapText="1"/>
    </xf>
    <xf numFmtId="0" fontId="8" fillId="9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4" fontId="13" fillId="11" borderId="0" xfId="0" applyNumberFormat="1" applyFont="1" applyFill="1" applyAlignment="1">
      <alignment horizontal="center" vertical="center"/>
    </xf>
    <xf numFmtId="4" fontId="13" fillId="11" borderId="0" xfId="1" applyNumberFormat="1" applyFont="1" applyFill="1" applyAlignment="1">
      <alignment horizontal="center" vertical="center"/>
    </xf>
    <xf numFmtId="0" fontId="12" fillId="10" borderId="0" xfId="1" applyFont="1" applyFill="1" applyAlignment="1">
      <alignment horizontal="center" vertical="center"/>
    </xf>
    <xf numFmtId="4" fontId="13" fillId="11" borderId="0" xfId="2" applyNumberFormat="1" applyFont="1" applyFill="1" applyAlignment="1">
      <alignment horizontal="center" vertical="center"/>
    </xf>
    <xf numFmtId="0" fontId="12" fillId="10" borderId="0" xfId="2" applyFont="1" applyFill="1" applyAlignment="1">
      <alignment horizontal="center" vertical="center"/>
    </xf>
    <xf numFmtId="0" fontId="0" fillId="12" borderId="0" xfId="0" applyFill="1"/>
  </cellXfs>
  <cellStyles count="4">
    <cellStyle name="Normal" xfId="0" builtinId="0"/>
    <cellStyle name="Normal 2" xfId="1"/>
    <cellStyle name="Normal 2 3" xfId="2"/>
    <cellStyle name="Normal 6" xfId="3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PONT_HAMLIL/Desktop/FC-B/OMAR%20ZEGH%2010-06-2026%20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PONT_HAMLIL/AppData/Roaming/Microsoft/AddIns/md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ARIES"/>
      <sheetName val="MNQ-B-R "/>
      <sheetName val="F-Paie 2025"/>
      <sheetName val="AFFECTATION"/>
      <sheetName val="T-BOIS"/>
      <sheetName val="@ (2)"/>
      <sheetName val="@"/>
      <sheetName val="DOUANE"/>
      <sheetName val="CTP"/>
      <sheetName val="BUS"/>
      <sheetName val="RORO"/>
      <sheetName val="ENLV"/>
      <sheetName val="NAVIRES"/>
      <sheetName val="RST 18-06-26 M"/>
      <sheetName val="VHLS 19-06-2026 M"/>
      <sheetName val="N° chassis"/>
      <sheetName val="V-ENCHE"/>
      <sheetName val="MANQ"/>
      <sheetName val="TCD2"/>
      <sheetName val="TCD 3"/>
      <sheetName val="TCD1"/>
      <sheetName val="CHIPOL ANSHUN"/>
      <sheetName val="LIBRA XS"/>
      <sheetName val="FEDRA GR"/>
      <sheetName val="GMT ASTRO 25-05-2026"/>
      <sheetName val="EVER BAND"/>
      <sheetName val="BROAD GLORY"/>
      <sheetName val="YANGZE 31"/>
      <sheetName val="YC AEQUOR"/>
      <sheetName val="YC AEQUOR  1"/>
      <sheetName val="BROAD WEALTH (2)"/>
      <sheetName val=" XING SHENG "/>
      <sheetName val="BROAD WEALTH"/>
      <sheetName val="SEASHIN"/>
      <sheetName val="MING HUA "/>
      <sheetName val="GLORY LILY 6"/>
      <sheetName val="AMOY ACTION"/>
      <sheetName val="SAN NICOLAS"/>
      <sheetName val="XIN HAI TONG 17 "/>
      <sheetName val="KAI TUO "/>
      <sheetName val="HONY FUTURE"/>
      <sheetName val="HAPPINESS BULKER"/>
      <sheetName val="SAFFET BEY 4-4-2026"/>
      <sheetName val="SAFFET BEY MARS"/>
      <sheetName val="POLARIS PRINCESSS 21-03-2026"/>
      <sheetName val="PALMGRACHT "/>
      <sheetName val="VHLS 31-05-2026 S (2)"/>
      <sheetName val="RST 31-05-26 N (2)"/>
      <sheetName val="VHLS 23-25"/>
      <sheetName val="Feuil1"/>
      <sheetName val="SEA PATRIS"/>
      <sheetName val="RST 30-09-25"/>
      <sheetName val="RST 31-08-25"/>
      <sheetName val="RST 31-07-25"/>
      <sheetName val="RST 30-06-25"/>
      <sheetName val="VHLS 30-06-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Escale</v>
          </cell>
          <cell r="B1" t="str">
            <v>BL</v>
          </cell>
          <cell r="C1" t="str">
            <v>Article</v>
          </cell>
          <cell r="D1" t="str">
            <v>Marchandise</v>
          </cell>
          <cell r="E1" t="str">
            <v>Nb Colis</v>
          </cell>
          <cell r="F1" t="str">
            <v>Poids Brute</v>
          </cell>
          <cell r="G1" t="str">
            <v>Client</v>
          </cell>
          <cell r="H1" t="str">
            <v>Chassis</v>
          </cell>
          <cell r="I1" t="str">
            <v>Modèle</v>
          </cell>
          <cell r="J1" t="str">
            <v>Détails</v>
          </cell>
          <cell r="K1" t="str">
            <v>Produits</v>
          </cell>
          <cell r="L1" t="str">
            <v>Surf</v>
          </cell>
        </row>
        <row r="2">
          <cell r="A2" t="str">
            <v>DJI202600161</v>
          </cell>
          <cell r="B2" t="str">
            <v>BW26089LDJD003</v>
          </cell>
          <cell r="C2" t="str">
            <v>1</v>
          </cell>
          <cell r="D2" t="str">
            <v>1 UNIT PNEUMATIC TIRE ROLLER  XCMG XP203S ( VOIR BL)</v>
          </cell>
          <cell r="E2">
            <v>1</v>
          </cell>
          <cell r="F2">
            <v>20000</v>
          </cell>
          <cell r="G2" t="str">
            <v>KOUACHE KHALID</v>
          </cell>
          <cell r="H2" t="str">
            <v>XUG02034VTJE00647</v>
          </cell>
          <cell r="I2" t="str">
            <v>XP203S</v>
          </cell>
          <cell r="J2" t="str">
            <v>CAMION</v>
          </cell>
          <cell r="K2" t="str">
            <v>ENGINS</v>
          </cell>
          <cell r="L2" t="str">
            <v/>
          </cell>
        </row>
        <row r="3">
          <cell r="A3" t="str">
            <v>DJI202600161</v>
          </cell>
          <cell r="B3" t="str">
            <v>BW26089LDJD004</v>
          </cell>
          <cell r="C3" t="str">
            <v>2</v>
          </cell>
          <cell r="D3" t="str">
            <v>1 UNIT SHACMAN F2000 6x4 DUMP TRUCK-290HP 1 UNIT SHACMAN F2000 6x4 WATER TANK-20 CBM (VOIR BL)</v>
          </cell>
          <cell r="E3">
            <v>2</v>
          </cell>
          <cell r="F3">
            <v>25700</v>
          </cell>
          <cell r="G3" t="str">
            <v>SARL AMIMAAMAR LILACHEGHAL EL OUMOUMIA</v>
          </cell>
          <cell r="H3" t="str">
            <v>LZGJLJM47SX094010</v>
          </cell>
          <cell r="I3" t="str">
            <v>F2000</v>
          </cell>
          <cell r="J3" t="str">
            <v>CAMION</v>
          </cell>
          <cell r="K3" t="str">
            <v>ENGINS</v>
          </cell>
          <cell r="L3" t="str">
            <v/>
          </cell>
        </row>
        <row r="4">
          <cell r="A4" t="str">
            <v>DJI202600161</v>
          </cell>
          <cell r="B4" t="str">
            <v/>
          </cell>
          <cell r="C4" t="str">
            <v/>
          </cell>
          <cell r="D4" t="str">
            <v/>
          </cell>
          <cell r="E4" t="str">
            <v/>
          </cell>
          <cell r="F4">
            <v>12850</v>
          </cell>
          <cell r="G4" t="str">
            <v/>
          </cell>
          <cell r="H4" t="str">
            <v>LZGJLJM45SX094636</v>
          </cell>
          <cell r="I4" t="str">
            <v>F2000</v>
          </cell>
          <cell r="J4" t="str">
            <v>ENGINS</v>
          </cell>
          <cell r="K4" t="str">
            <v>ENGINS</v>
          </cell>
          <cell r="L4" t="str">
            <v/>
          </cell>
        </row>
        <row r="5">
          <cell r="A5" t="str">
            <v>DJI202600161</v>
          </cell>
          <cell r="B5" t="str">
            <v>BW26089LDJD005/006</v>
          </cell>
          <cell r="C5" t="str">
            <v>3</v>
          </cell>
          <cell r="D5" t="str">
            <v>1 UNIT SINOTRUK SITRAK 6X4 TRACTOR FOR HEAVY LOAD DESERT   1 UNIT CIMC THREE-AXLE LOW-FLATBED SEMI-TRAILER 1 UNIT CIMC THREE-AXLE DUMP SEMI-TRAILER ( VOIR BL)</v>
          </cell>
          <cell r="E5">
            <v>3</v>
          </cell>
          <cell r="F5">
            <v>30700</v>
          </cell>
          <cell r="G5" t="str">
            <v>BOUDJEMA NABIL</v>
          </cell>
          <cell r="H5" t="str">
            <v>LZZ7CLVD7TC783050</v>
          </cell>
          <cell r="I5" t="str">
            <v>ZZ4256V364HC1H</v>
          </cell>
          <cell r="J5" t="str">
            <v>ENGINS</v>
          </cell>
          <cell r="K5" t="str">
            <v>ENGINS</v>
          </cell>
          <cell r="L5" t="str">
            <v/>
          </cell>
        </row>
        <row r="6">
          <cell r="A6" t="str">
            <v>DJI202600161</v>
          </cell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>
            <v>10233</v>
          </cell>
          <cell r="G6" t="str">
            <v/>
          </cell>
          <cell r="H6" t="str">
            <v>LMA93NGT2TNC74889</v>
          </cell>
          <cell r="I6" t="str">
            <v>CSQ9400TDP</v>
          </cell>
          <cell r="J6" t="str">
            <v>ENGINS</v>
          </cell>
          <cell r="K6" t="str">
            <v>ENGINS</v>
          </cell>
          <cell r="L6" t="str">
            <v/>
          </cell>
        </row>
        <row r="7">
          <cell r="A7" t="str">
            <v>DJI202600161</v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>
            <v>10233</v>
          </cell>
          <cell r="G7" t="str">
            <v/>
          </cell>
          <cell r="H7" t="str">
            <v>LJRD0938XTNC74798</v>
          </cell>
          <cell r="I7" t="str">
            <v>CSQ9403ZZX</v>
          </cell>
          <cell r="J7" t="str">
            <v>ENGINS</v>
          </cell>
          <cell r="K7" t="str">
            <v>ENGINS</v>
          </cell>
          <cell r="L7" t="str">
            <v/>
          </cell>
        </row>
        <row r="8">
          <cell r="A8" t="str">
            <v>DJI202600161</v>
          </cell>
          <cell r="B8" t="str">
            <v>BW26089LDJD007/008</v>
          </cell>
          <cell r="C8" t="str">
            <v>4</v>
          </cell>
          <cell r="D8" t="str">
            <v>1 UNIT SINOTRUK SITRAK 6X4 TRACTOR FOR HEAVY LOAD DESERT 1 CIMC 40m3 POWDER TANK SEMI-TRAILER ( VOIR BL)</v>
          </cell>
          <cell r="E8">
            <v>2</v>
          </cell>
          <cell r="F8">
            <v>16900</v>
          </cell>
          <cell r="G8" t="str">
            <v>BETON ET TRAVAUX OUEST</v>
          </cell>
          <cell r="H8" t="str">
            <v>LZZ7CLVD6TC784092</v>
          </cell>
          <cell r="I8" t="str">
            <v>ZZ4256V364HC1H</v>
          </cell>
          <cell r="J8" t="str">
            <v>ENGINS</v>
          </cell>
          <cell r="K8" t="str">
            <v>ENGINS</v>
          </cell>
          <cell r="L8" t="str">
            <v/>
          </cell>
        </row>
        <row r="9">
          <cell r="A9" t="str">
            <v>DJI202600161</v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>
            <v>8450</v>
          </cell>
          <cell r="G9" t="str">
            <v/>
          </cell>
          <cell r="H9" t="str">
            <v>LRJ98RG33TK0W0127</v>
          </cell>
          <cell r="I9" t="str">
            <v>AUTRES</v>
          </cell>
          <cell r="J9" t="str">
            <v>ENGINS</v>
          </cell>
          <cell r="K9" t="str">
            <v>ENGINS</v>
          </cell>
          <cell r="L9" t="str">
            <v/>
          </cell>
        </row>
        <row r="10">
          <cell r="A10" t="str">
            <v>DJI202600161</v>
          </cell>
          <cell r="B10" t="str">
            <v>BW26089LDJD009</v>
          </cell>
          <cell r="C10" t="str">
            <v>5</v>
          </cell>
          <cell r="D10" t="str">
            <v>2 UNITS SHACMAN F2000 6X4 CONCRETE MIXER TRUCK ( VOIR BL)</v>
          </cell>
          <cell r="E10">
            <v>2</v>
          </cell>
          <cell r="F10">
            <v>27000</v>
          </cell>
          <cell r="G10" t="str">
            <v>EURL MISSAOUI ALLAL</v>
          </cell>
          <cell r="H10" t="str">
            <v>LZGJLJR43TX037085</v>
          </cell>
          <cell r="I10" t="str">
            <v>SX5255GJBJR334</v>
          </cell>
          <cell r="J10" t="str">
            <v>CAMION</v>
          </cell>
          <cell r="K10" t="str">
            <v>ENGINS</v>
          </cell>
          <cell r="L10" t="str">
            <v/>
          </cell>
        </row>
        <row r="11">
          <cell r="A11" t="str">
            <v>DJI202600161</v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>
            <v>13500</v>
          </cell>
          <cell r="G11" t="str">
            <v/>
          </cell>
          <cell r="H11" t="str">
            <v>LZGJLJR45TX037086</v>
          </cell>
          <cell r="I11" t="str">
            <v>SX5255GJBJR334</v>
          </cell>
          <cell r="J11" t="str">
            <v>ENGINS</v>
          </cell>
          <cell r="K11" t="str">
            <v>ENGINS</v>
          </cell>
          <cell r="L11" t="str">
            <v/>
          </cell>
        </row>
        <row r="12">
          <cell r="A12" t="str">
            <v>DJI202600161</v>
          </cell>
          <cell r="B12" t="str">
            <v>BW26089LDJD010</v>
          </cell>
          <cell r="C12" t="str">
            <v>6</v>
          </cell>
          <cell r="D12" t="str">
            <v>6 UNITS CAMION JMC CARYYING PLUS FRIGO THERMOKING RV380 ( VOIR BL)</v>
          </cell>
          <cell r="E12">
            <v>6</v>
          </cell>
          <cell r="F12">
            <v>16260</v>
          </cell>
          <cell r="G12" t="str">
            <v>SARL BZ TRADING AND BUSINESS</v>
          </cell>
          <cell r="H12" t="str">
            <v>LEFYECC38THN09837</v>
          </cell>
          <cell r="I12" t="str">
            <v>JX1034TC2</v>
          </cell>
          <cell r="J12" t="str">
            <v>ENGINS</v>
          </cell>
          <cell r="K12" t="str">
            <v>ENGINS</v>
          </cell>
          <cell r="L12" t="str">
            <v/>
          </cell>
        </row>
        <row r="13">
          <cell r="A13" t="str">
            <v>DJI202600161</v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>
            <v>2710</v>
          </cell>
          <cell r="G13" t="str">
            <v/>
          </cell>
          <cell r="H13" t="str">
            <v>LEFYECC3XTHN09838</v>
          </cell>
          <cell r="I13" t="str">
            <v>JX1034TC2</v>
          </cell>
          <cell r="J13" t="str">
            <v>ENGINS</v>
          </cell>
          <cell r="K13" t="str">
            <v>ENGINS</v>
          </cell>
          <cell r="L13" t="str">
            <v/>
          </cell>
        </row>
        <row r="14">
          <cell r="A14" t="str">
            <v>DJI202600161</v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>
            <v>2710</v>
          </cell>
          <cell r="G14" t="str">
            <v/>
          </cell>
          <cell r="H14" t="str">
            <v>LEFYECC39THN09975</v>
          </cell>
          <cell r="I14" t="str">
            <v>JX1034TC2</v>
          </cell>
          <cell r="J14" t="str">
            <v>ENGINS</v>
          </cell>
          <cell r="K14" t="str">
            <v>ENGINS</v>
          </cell>
          <cell r="L14" t="str">
            <v/>
          </cell>
        </row>
        <row r="15">
          <cell r="A15" t="str">
            <v>DJI202600161</v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>
            <v>2710</v>
          </cell>
          <cell r="G15" t="str">
            <v/>
          </cell>
          <cell r="H15" t="str">
            <v>LEFYECC37THN16827</v>
          </cell>
          <cell r="I15" t="str">
            <v>JX1034TC2</v>
          </cell>
          <cell r="J15" t="str">
            <v>ENGINS</v>
          </cell>
          <cell r="K15" t="str">
            <v>ENGINS</v>
          </cell>
          <cell r="L15" t="str">
            <v/>
          </cell>
        </row>
        <row r="16">
          <cell r="A16" t="str">
            <v>DJI202600161</v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>
            <v>2710</v>
          </cell>
          <cell r="G16" t="str">
            <v/>
          </cell>
          <cell r="H16" t="str">
            <v>LEFYECC30THN16829</v>
          </cell>
          <cell r="I16" t="str">
            <v>JX1034TC2</v>
          </cell>
          <cell r="J16" t="str">
            <v>ENGINS</v>
          </cell>
          <cell r="K16" t="str">
            <v>ENGINS</v>
          </cell>
          <cell r="L16" t="str">
            <v/>
          </cell>
        </row>
        <row r="17">
          <cell r="A17" t="str">
            <v>DJI202600161</v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>
            <v>2710</v>
          </cell>
          <cell r="G17" t="str">
            <v/>
          </cell>
          <cell r="H17" t="str">
            <v>LEFYECC30THN16832</v>
          </cell>
          <cell r="I17" t="str">
            <v>JX1034TC2</v>
          </cell>
          <cell r="J17" t="str">
            <v>ENGINS</v>
          </cell>
          <cell r="K17" t="str">
            <v>ENGINS</v>
          </cell>
          <cell r="L17" t="str">
            <v/>
          </cell>
        </row>
        <row r="18">
          <cell r="A18" t="str">
            <v>DJI202600161</v>
          </cell>
          <cell r="B18" t="str">
            <v>BW26089LDJD011</v>
          </cell>
          <cell r="C18" t="str">
            <v>7</v>
          </cell>
          <cell r="D18" t="str">
            <v>2 UNITS DUMP TRUCK HS /1 UNIT CONCRETE MIXER TRUCK /1 UNIT BULKER CEMENT TRANSPORTER /1 UNIT TRACKED EXCAVATOR /2 UNITS WHEEL LOADER ( VOIR BL)</v>
          </cell>
          <cell r="E18">
            <v>36</v>
          </cell>
          <cell r="F18">
            <v>646320</v>
          </cell>
          <cell r="G18" t="str">
            <v>CHINA ROAD AND BRIDGE CORPORATION</v>
          </cell>
          <cell r="H18" t="str">
            <v>LFWMVXRXXT1F07778</v>
          </cell>
          <cell r="I18" t="str">
            <v>AUTRES</v>
          </cell>
          <cell r="J18" t="str">
            <v>ENGINS</v>
          </cell>
          <cell r="K18" t="str">
            <v>ENGINS</v>
          </cell>
          <cell r="L18" t="str">
            <v/>
          </cell>
        </row>
        <row r="19">
          <cell r="A19" t="str">
            <v>DJI202600161</v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>
            <v>17953</v>
          </cell>
          <cell r="G19" t="str">
            <v/>
          </cell>
          <cell r="H19" t="str">
            <v>LFWMVXRX1T1F07782</v>
          </cell>
          <cell r="I19" t="str">
            <v>AUTRES</v>
          </cell>
          <cell r="J19" t="str">
            <v>ENGINS</v>
          </cell>
          <cell r="K19" t="str">
            <v>ENGINS</v>
          </cell>
          <cell r="L19" t="str">
            <v/>
          </cell>
        </row>
        <row r="20">
          <cell r="A20" t="str">
            <v>DJI202600161</v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>
            <v>17953</v>
          </cell>
          <cell r="G20" t="str">
            <v/>
          </cell>
          <cell r="H20" t="str">
            <v>LFWMVXRXXT1F07781</v>
          </cell>
          <cell r="I20" t="str">
            <v>AUTRES</v>
          </cell>
          <cell r="J20" t="str">
            <v>ENGINS</v>
          </cell>
          <cell r="K20" t="str">
            <v>ENGINS</v>
          </cell>
          <cell r="L20" t="str">
            <v/>
          </cell>
        </row>
        <row r="21">
          <cell r="A21" t="str">
            <v>DJI202600161</v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>
            <v>17953</v>
          </cell>
          <cell r="G21" t="str">
            <v/>
          </cell>
          <cell r="H21" t="str">
            <v>LFWMVXRX6T1F07776</v>
          </cell>
          <cell r="I21" t="str">
            <v>AUTRES</v>
          </cell>
          <cell r="J21" t="str">
            <v>ENGINS</v>
          </cell>
          <cell r="K21" t="str">
            <v>ENGINS</v>
          </cell>
          <cell r="L21" t="str">
            <v/>
          </cell>
        </row>
        <row r="22">
          <cell r="A22" t="str">
            <v>DJI202600161</v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>
            <v>17953</v>
          </cell>
          <cell r="G22" t="str">
            <v/>
          </cell>
          <cell r="H22" t="str">
            <v>LFWMVXRX1T1F07779</v>
          </cell>
          <cell r="I22" t="str">
            <v>AUTRES</v>
          </cell>
          <cell r="J22" t="str">
            <v>ENGINS</v>
          </cell>
          <cell r="K22" t="str">
            <v>ENGINS</v>
          </cell>
          <cell r="L22" t="str">
            <v/>
          </cell>
        </row>
        <row r="23">
          <cell r="A23" t="str">
            <v>DJI202600161</v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>
            <v>17953</v>
          </cell>
          <cell r="G23" t="str">
            <v/>
          </cell>
          <cell r="H23" t="str">
            <v>LFWMVXRX8T1F07777</v>
          </cell>
          <cell r="I23" t="str">
            <v>AUTRES</v>
          </cell>
          <cell r="J23" t="str">
            <v>ENGINS</v>
          </cell>
          <cell r="K23" t="str">
            <v>ENGINS</v>
          </cell>
          <cell r="L23" t="str">
            <v/>
          </cell>
        </row>
        <row r="24">
          <cell r="A24" t="str">
            <v>DJI202600161</v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>
            <v>17953</v>
          </cell>
          <cell r="G24" t="str">
            <v/>
          </cell>
          <cell r="H24" t="str">
            <v>LFWMVXRX8T1F07780</v>
          </cell>
          <cell r="I24" t="str">
            <v>AUTRES</v>
          </cell>
          <cell r="J24" t="str">
            <v>ENGINS</v>
          </cell>
          <cell r="K24" t="str">
            <v>ENGINS</v>
          </cell>
          <cell r="L24" t="str">
            <v/>
          </cell>
        </row>
        <row r="25">
          <cell r="A25" t="str">
            <v>DJI202600161</v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>
            <v>17953</v>
          </cell>
          <cell r="G25" t="str">
            <v/>
          </cell>
          <cell r="H25" t="str">
            <v>LFWMVXRX3T1F07783</v>
          </cell>
          <cell r="I25" t="str">
            <v>AUTRES</v>
          </cell>
          <cell r="J25" t="str">
            <v>ENGINS</v>
          </cell>
          <cell r="K25" t="str">
            <v>ENGINS</v>
          </cell>
          <cell r="L25" t="str">
            <v/>
          </cell>
        </row>
        <row r="26">
          <cell r="A26" t="str">
            <v>DJI202600161</v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>
            <v>17953</v>
          </cell>
          <cell r="G26" t="str">
            <v/>
          </cell>
          <cell r="H26" t="str">
            <v>LFWMVXRX6T1E10089</v>
          </cell>
          <cell r="I26" t="str">
            <v>AUTRES</v>
          </cell>
          <cell r="J26" t="str">
            <v>ENGINS</v>
          </cell>
          <cell r="K26" t="str">
            <v>ENGINS</v>
          </cell>
          <cell r="L26" t="str">
            <v/>
          </cell>
        </row>
        <row r="27">
          <cell r="A27" t="str">
            <v>DJI202600161</v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>
            <v>17953</v>
          </cell>
          <cell r="G27" t="str">
            <v/>
          </cell>
          <cell r="H27" t="str">
            <v>LFWMVXRX2T1E10090</v>
          </cell>
          <cell r="I27" t="str">
            <v>AUTRES</v>
          </cell>
          <cell r="J27" t="str">
            <v>ENGINS</v>
          </cell>
          <cell r="K27" t="str">
            <v>ENGINS</v>
          </cell>
          <cell r="L27" t="str">
            <v/>
          </cell>
        </row>
        <row r="28">
          <cell r="A28" t="str">
            <v>DJI202600161</v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>
            <v>17953</v>
          </cell>
          <cell r="G28" t="str">
            <v/>
          </cell>
          <cell r="H28" t="str">
            <v>LFWKRXRL4T1F07865</v>
          </cell>
          <cell r="I28" t="str">
            <v>AUTRES</v>
          </cell>
          <cell r="J28" t="str">
            <v>ENGINS</v>
          </cell>
          <cell r="K28" t="str">
            <v>ENGINS</v>
          </cell>
          <cell r="L28" t="str">
            <v/>
          </cell>
        </row>
        <row r="29">
          <cell r="A29" t="str">
            <v>DJI202600161</v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>
            <v>17953</v>
          </cell>
          <cell r="G29" t="str">
            <v/>
          </cell>
          <cell r="H29" t="str">
            <v>LFWKRXRL2T1F07864</v>
          </cell>
          <cell r="I29" t="str">
            <v>AUTRES</v>
          </cell>
          <cell r="J29" t="str">
            <v>ENGINS</v>
          </cell>
          <cell r="K29" t="str">
            <v>ENGINS</v>
          </cell>
          <cell r="L29" t="str">
            <v/>
          </cell>
        </row>
        <row r="30">
          <cell r="A30" t="str">
            <v>DJI202600161</v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>
            <v>17953</v>
          </cell>
          <cell r="G30" t="str">
            <v/>
          </cell>
          <cell r="H30" t="str">
            <v>LFWKRXRL7T1F07861</v>
          </cell>
          <cell r="I30" t="str">
            <v>AUTRES</v>
          </cell>
          <cell r="J30" t="str">
            <v>ENGINS</v>
          </cell>
          <cell r="K30" t="str">
            <v>ENGINS</v>
          </cell>
          <cell r="L30" t="str">
            <v/>
          </cell>
        </row>
        <row r="31">
          <cell r="A31" t="str">
            <v>DJI202600161</v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>
            <v>17953</v>
          </cell>
          <cell r="G31" t="str">
            <v/>
          </cell>
          <cell r="H31" t="str">
            <v>LFWKRXRL8T1F07867</v>
          </cell>
          <cell r="I31" t="str">
            <v>AUTRES</v>
          </cell>
          <cell r="J31" t="str">
            <v>ENGINS</v>
          </cell>
          <cell r="K31" t="str">
            <v>ENGINS</v>
          </cell>
          <cell r="L31" t="str">
            <v/>
          </cell>
        </row>
        <row r="32">
          <cell r="A32" t="str">
            <v>DJI202600161</v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>
            <v>17953</v>
          </cell>
          <cell r="G32" t="str">
            <v/>
          </cell>
          <cell r="H32" t="str">
            <v>LFWKRXRL9T1F07862</v>
          </cell>
          <cell r="I32" t="str">
            <v>AUTRES</v>
          </cell>
          <cell r="J32" t="str">
            <v>ENGINS</v>
          </cell>
          <cell r="K32" t="str">
            <v>ENGINS</v>
          </cell>
          <cell r="L32" t="str">
            <v/>
          </cell>
        </row>
        <row r="33">
          <cell r="A33" t="str">
            <v>DJI202600161</v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>
            <v>17953</v>
          </cell>
          <cell r="G33" t="str">
            <v/>
          </cell>
          <cell r="H33" t="str">
            <v>LFWKRXRL6T1F07866</v>
          </cell>
          <cell r="I33" t="str">
            <v>AUTRES</v>
          </cell>
          <cell r="J33" t="str">
            <v>ENGINS</v>
          </cell>
          <cell r="K33" t="str">
            <v>ENGINS</v>
          </cell>
          <cell r="L33" t="str">
            <v/>
          </cell>
        </row>
        <row r="34">
          <cell r="A34" t="str">
            <v>DJI202600161</v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>
            <v>17953</v>
          </cell>
          <cell r="G34" t="str">
            <v/>
          </cell>
          <cell r="H34" t="str">
            <v>LFWKRXRL0T1F07863</v>
          </cell>
          <cell r="I34" t="str">
            <v>AUTRES</v>
          </cell>
          <cell r="J34" t="str">
            <v>ENGINS</v>
          </cell>
          <cell r="K34" t="str">
            <v>ENGINS</v>
          </cell>
          <cell r="L34" t="str">
            <v/>
          </cell>
        </row>
        <row r="35">
          <cell r="A35" t="str">
            <v>DJI202600161</v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>
            <v>17953</v>
          </cell>
          <cell r="G35" t="str">
            <v/>
          </cell>
          <cell r="H35" t="str">
            <v>LFWKRXRL5T1F07860</v>
          </cell>
          <cell r="I35" t="str">
            <v>AUTRES</v>
          </cell>
          <cell r="J35" t="str">
            <v>ENGINS</v>
          </cell>
          <cell r="K35" t="str">
            <v>ENGINS</v>
          </cell>
          <cell r="L35" t="str">
            <v/>
          </cell>
        </row>
        <row r="36">
          <cell r="A36" t="str">
            <v>DJI202600161</v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>
            <v>17953</v>
          </cell>
          <cell r="G36" t="str">
            <v/>
          </cell>
          <cell r="H36" t="str">
            <v>LFWKRXRL9T1F07621</v>
          </cell>
          <cell r="I36" t="str">
            <v>AUTRES</v>
          </cell>
          <cell r="J36" t="str">
            <v>ENGINS</v>
          </cell>
          <cell r="K36" t="str">
            <v>ENGINS</v>
          </cell>
          <cell r="L36" t="str">
            <v/>
          </cell>
        </row>
        <row r="37">
          <cell r="A37" t="str">
            <v>DJI202600161</v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>
            <v>17953</v>
          </cell>
          <cell r="G37" t="str">
            <v/>
          </cell>
          <cell r="H37" t="str">
            <v>LFWKRXRL7T1F07620</v>
          </cell>
          <cell r="I37" t="str">
            <v>AUTRES</v>
          </cell>
          <cell r="J37" t="str">
            <v>ENGINS</v>
          </cell>
          <cell r="K37" t="str">
            <v>ENGINS</v>
          </cell>
          <cell r="L37" t="str">
            <v/>
          </cell>
        </row>
        <row r="38">
          <cell r="A38" t="str">
            <v>DJI202600161</v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>
            <v>17953</v>
          </cell>
          <cell r="G38" t="str">
            <v/>
          </cell>
          <cell r="H38" t="str">
            <v>LFNDRXPLXT1F07904</v>
          </cell>
          <cell r="I38" t="str">
            <v>AUTRES</v>
          </cell>
          <cell r="J38" t="str">
            <v>ENGINS</v>
          </cell>
          <cell r="K38" t="str">
            <v>ENGINS</v>
          </cell>
          <cell r="L38" t="str">
            <v/>
          </cell>
        </row>
        <row r="39">
          <cell r="A39" t="str">
            <v>DJI202600161</v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>
            <v>17953</v>
          </cell>
          <cell r="G39" t="str">
            <v/>
          </cell>
          <cell r="H39" t="str">
            <v>LFNDRXPL1T1F07905</v>
          </cell>
          <cell r="I39" t="str">
            <v>AUTRES</v>
          </cell>
          <cell r="J39" t="str">
            <v>ENGINS</v>
          </cell>
          <cell r="K39" t="str">
            <v>ENGINS</v>
          </cell>
          <cell r="L39" t="str">
            <v/>
          </cell>
        </row>
        <row r="40">
          <cell r="A40" t="str">
            <v>DJI202600161</v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>
            <v>17953</v>
          </cell>
          <cell r="G40" t="str">
            <v/>
          </cell>
          <cell r="H40" t="str">
            <v>LFNDRXPL5T1F07910</v>
          </cell>
          <cell r="I40" t="str">
            <v>AUTRES</v>
          </cell>
          <cell r="J40" t="str">
            <v>ENGINS</v>
          </cell>
          <cell r="K40" t="str">
            <v>ENGINS</v>
          </cell>
          <cell r="L40" t="str">
            <v/>
          </cell>
        </row>
        <row r="41">
          <cell r="A41" t="str">
            <v>DJI202600161</v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>
            <v>17953</v>
          </cell>
          <cell r="G41" t="str">
            <v/>
          </cell>
          <cell r="H41" t="str">
            <v>LFNDRXPL5T1F07907</v>
          </cell>
          <cell r="I41" t="str">
            <v>AUTRES</v>
          </cell>
          <cell r="J41" t="str">
            <v>ENGINS</v>
          </cell>
          <cell r="K41" t="str">
            <v>ENGINS</v>
          </cell>
          <cell r="L41" t="str">
            <v/>
          </cell>
        </row>
        <row r="42">
          <cell r="A42" t="str">
            <v>DJI202600161</v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>
            <v>17953</v>
          </cell>
          <cell r="G42" t="str">
            <v/>
          </cell>
          <cell r="H42" t="str">
            <v>LFNDRXPL3T1F07906</v>
          </cell>
          <cell r="I42" t="str">
            <v>AUTRES</v>
          </cell>
          <cell r="J42" t="str">
            <v>ENGINS</v>
          </cell>
          <cell r="K42" t="str">
            <v>ENGINS</v>
          </cell>
          <cell r="L42" t="str">
            <v/>
          </cell>
        </row>
        <row r="43">
          <cell r="A43" t="str">
            <v>DJI202600161</v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>
            <v>17953</v>
          </cell>
          <cell r="G43" t="str">
            <v/>
          </cell>
          <cell r="H43" t="str">
            <v>LFNDRXPL7T1F07911</v>
          </cell>
          <cell r="I43" t="str">
            <v>AUTRES</v>
          </cell>
          <cell r="J43" t="str">
            <v>ENGINS</v>
          </cell>
          <cell r="K43" t="str">
            <v>ENGINS</v>
          </cell>
          <cell r="L43" t="str">
            <v/>
          </cell>
        </row>
        <row r="44">
          <cell r="A44" t="str">
            <v>DJI202600161</v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>
            <v>17953</v>
          </cell>
          <cell r="G44" t="str">
            <v/>
          </cell>
          <cell r="H44" t="str">
            <v>LFNDRXPL7T1F07908</v>
          </cell>
          <cell r="I44" t="str">
            <v>AUTRES</v>
          </cell>
          <cell r="J44" t="str">
            <v>ENGINS</v>
          </cell>
          <cell r="K44" t="str">
            <v>ENGINS</v>
          </cell>
          <cell r="L44" t="str">
            <v/>
          </cell>
        </row>
        <row r="45">
          <cell r="A45" t="str">
            <v>DJI202600161</v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>
            <v>17953</v>
          </cell>
          <cell r="G45" t="str">
            <v/>
          </cell>
          <cell r="H45" t="str">
            <v>LFNDRXPL0T1F07622</v>
          </cell>
          <cell r="I45" t="str">
            <v>AUTRES</v>
          </cell>
          <cell r="J45" t="str">
            <v>ENGINS</v>
          </cell>
          <cell r="K45" t="str">
            <v>ENGINS</v>
          </cell>
          <cell r="L45" t="str">
            <v/>
          </cell>
        </row>
        <row r="46">
          <cell r="A46" t="str">
            <v>DJI202600161</v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>
            <v>17953</v>
          </cell>
          <cell r="G46" t="str">
            <v/>
          </cell>
          <cell r="H46" t="str">
            <v>LFNDRXPL2T1F07623</v>
          </cell>
          <cell r="I46" t="str">
            <v>AUTRES</v>
          </cell>
          <cell r="J46" t="str">
            <v>ENGINS</v>
          </cell>
          <cell r="K46" t="str">
            <v>ENGINS</v>
          </cell>
          <cell r="L46" t="str">
            <v/>
          </cell>
        </row>
        <row r="47">
          <cell r="A47" t="str">
            <v>DJI202600161</v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>
            <v>17953</v>
          </cell>
          <cell r="G47" t="str">
            <v/>
          </cell>
          <cell r="H47" t="str">
            <v>LFNDRXPL9T1F07909</v>
          </cell>
          <cell r="I47" t="str">
            <v>AUTRES</v>
          </cell>
          <cell r="J47" t="str">
            <v>ENGINS</v>
          </cell>
          <cell r="K47" t="str">
            <v>ENGINS</v>
          </cell>
          <cell r="L47" t="str">
            <v/>
          </cell>
        </row>
        <row r="48">
          <cell r="A48" t="str">
            <v>DJI202600161</v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>
            <v>17953</v>
          </cell>
          <cell r="G48" t="str">
            <v/>
          </cell>
          <cell r="H48" t="str">
            <v>LFWYVXRX9T1F06428</v>
          </cell>
          <cell r="I48" t="str">
            <v>AUTRES</v>
          </cell>
          <cell r="J48" t="str">
            <v>ENGINS</v>
          </cell>
          <cell r="K48" t="str">
            <v>ENGINS</v>
          </cell>
          <cell r="L48" t="str">
            <v/>
          </cell>
        </row>
        <row r="49">
          <cell r="A49" t="str">
            <v>DJI202600161</v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>
            <v>17953</v>
          </cell>
          <cell r="G49" t="str">
            <v/>
          </cell>
          <cell r="H49" t="str">
            <v>LFWYVXRX0T1F06429</v>
          </cell>
          <cell r="I49" t="str">
            <v>AUTRES</v>
          </cell>
          <cell r="J49" t="str">
            <v>ENGINS</v>
          </cell>
          <cell r="K49" t="str">
            <v>ENGINS</v>
          </cell>
          <cell r="L49" t="str">
            <v/>
          </cell>
        </row>
        <row r="50">
          <cell r="A50" t="str">
            <v>DJI202600161</v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>
            <v>17953</v>
          </cell>
          <cell r="G50" t="str">
            <v/>
          </cell>
          <cell r="H50" t="str">
            <v>ZLHZE649VT0C01143</v>
          </cell>
          <cell r="I50" t="str">
            <v>AUTRES</v>
          </cell>
          <cell r="J50" t="str">
            <v>ENGINS</v>
          </cell>
          <cell r="K50" t="str">
            <v>ENGINS</v>
          </cell>
          <cell r="L50" t="str">
            <v/>
          </cell>
        </row>
        <row r="51">
          <cell r="A51" t="str">
            <v>DJI202600161</v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>
            <v>17953</v>
          </cell>
          <cell r="G51" t="str">
            <v/>
          </cell>
          <cell r="H51" t="str">
            <v>ZLHZE649AT0C01144</v>
          </cell>
          <cell r="I51" t="str">
            <v>AUTRES</v>
          </cell>
          <cell r="J51" t="str">
            <v>ENGINS</v>
          </cell>
          <cell r="K51" t="str">
            <v>ENGINS</v>
          </cell>
          <cell r="L51" t="str">
            <v/>
          </cell>
        </row>
        <row r="52">
          <cell r="A52" t="str">
            <v>DJI202600161</v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>
            <v>17953</v>
          </cell>
          <cell r="G52" t="str">
            <v/>
          </cell>
          <cell r="H52" t="str">
            <v>CLG855NZVTL897700</v>
          </cell>
          <cell r="I52" t="str">
            <v>AUTRES</v>
          </cell>
          <cell r="J52" t="str">
            <v>ENGINS</v>
          </cell>
          <cell r="K52" t="str">
            <v>ENGINS</v>
          </cell>
          <cell r="L52" t="str">
            <v/>
          </cell>
        </row>
        <row r="53">
          <cell r="A53" t="str">
            <v>DJI202600161</v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>
            <v>17953</v>
          </cell>
          <cell r="G53" t="str">
            <v/>
          </cell>
          <cell r="H53" t="str">
            <v>CLG855NZATL896998</v>
          </cell>
          <cell r="I53" t="str">
            <v>AUTRES</v>
          </cell>
          <cell r="J53" t="str">
            <v>ENGINS</v>
          </cell>
          <cell r="K53" t="str">
            <v>ENGINS</v>
          </cell>
          <cell r="L53" t="str">
            <v/>
          </cell>
        </row>
        <row r="54">
          <cell r="A54" t="str">
            <v>DJI202600161</v>
          </cell>
          <cell r="B54" t="str">
            <v>BW26089LDJD015</v>
          </cell>
          <cell r="C54" t="str">
            <v>8</v>
          </cell>
          <cell r="D54" t="str">
            <v>1 UNIT SHACMAN F2000 DUMP TRUCK 1 UNIT SHACMAN F2000 WATER TRUCK ( VOIR BL)</v>
          </cell>
          <cell r="E54">
            <v>2</v>
          </cell>
          <cell r="F54">
            <v>27500</v>
          </cell>
          <cell r="G54" t="str">
            <v>SARL DZ NOUVELLE SERVICES</v>
          </cell>
          <cell r="H54" t="str">
            <v>LZGJLJM40TX037097</v>
          </cell>
          <cell r="I54" t="str">
            <v>SX3255JM384</v>
          </cell>
          <cell r="J54" t="str">
            <v>ENGINS</v>
          </cell>
          <cell r="K54" t="str">
            <v>ENGINS</v>
          </cell>
          <cell r="L54" t="str">
            <v/>
          </cell>
        </row>
        <row r="55">
          <cell r="A55" t="str">
            <v>DJI202600161</v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>
            <v>13750</v>
          </cell>
          <cell r="G55" t="str">
            <v/>
          </cell>
          <cell r="H55" t="str">
            <v>LZGJLJM47TX037081</v>
          </cell>
          <cell r="I55" t="str">
            <v>SX5255GYSJM434</v>
          </cell>
          <cell r="J55" t="str">
            <v>ENGINS</v>
          </cell>
          <cell r="K55" t="str">
            <v>ENGINS</v>
          </cell>
          <cell r="L55" t="str">
            <v/>
          </cell>
        </row>
        <row r="56">
          <cell r="A56" t="str">
            <v>DJI202600161</v>
          </cell>
          <cell r="B56" t="str">
            <v>BW26089LDJD016/017</v>
          </cell>
          <cell r="C56" t="str">
            <v>9</v>
          </cell>
          <cell r="D56" t="str">
            <v>2 UNITS SINOTRUCK SITRAK  2 UNITS SEMI TRAILER ( VOIR BL)</v>
          </cell>
          <cell r="E56">
            <v>3</v>
          </cell>
          <cell r="F56">
            <v>34600</v>
          </cell>
          <cell r="G56" t="str">
            <v>BANQUE AL BARAKA D ALGERIE THE LESSEE EURL MARIFAD</v>
          </cell>
          <cell r="H56" t="str">
            <v>LZZ7CLVD5SC707826</v>
          </cell>
          <cell r="I56" t="str">
            <v>ZZ4256V364HC1B</v>
          </cell>
          <cell r="J56" t="str">
            <v>ENGINS</v>
          </cell>
          <cell r="K56" t="str">
            <v>ENGINS</v>
          </cell>
          <cell r="L56" t="str">
            <v/>
          </cell>
        </row>
        <row r="57">
          <cell r="A57" t="str">
            <v>DJI202600161</v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>
            <v>8650</v>
          </cell>
          <cell r="G57" t="str">
            <v/>
          </cell>
          <cell r="H57" t="str">
            <v>LZZ7CLVD7SC707827</v>
          </cell>
          <cell r="I57" t="str">
            <v>ZZ4256V364HC1B</v>
          </cell>
          <cell r="J57" t="str">
            <v>ENGINS</v>
          </cell>
          <cell r="K57" t="str">
            <v>ENGINS</v>
          </cell>
          <cell r="L57" t="str">
            <v/>
          </cell>
        </row>
        <row r="58">
          <cell r="A58" t="str">
            <v>DJI202600161</v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>
            <v>8650</v>
          </cell>
          <cell r="G58" t="str">
            <v/>
          </cell>
          <cell r="H58" t="str">
            <v>LJRB12381TNC75009</v>
          </cell>
          <cell r="I58" t="str">
            <v>CSQ9401D</v>
          </cell>
          <cell r="J58" t="str">
            <v>ENGINS</v>
          </cell>
          <cell r="K58" t="str">
            <v>ENGINS</v>
          </cell>
          <cell r="L58" t="str">
            <v/>
          </cell>
        </row>
        <row r="59">
          <cell r="A59" t="str">
            <v>DJI202600161</v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>
            <v>8650</v>
          </cell>
          <cell r="G59" t="str">
            <v/>
          </cell>
          <cell r="H59" t="str">
            <v>LJRB1238XTNC75008</v>
          </cell>
          <cell r="I59" t="str">
            <v>CSQ9401D</v>
          </cell>
          <cell r="J59" t="str">
            <v>ENGINS</v>
          </cell>
          <cell r="K59" t="str">
            <v>ENGINS</v>
          </cell>
          <cell r="L59" t="str">
            <v/>
          </cell>
        </row>
        <row r="60">
          <cell r="A60" t="str">
            <v>DJI202600161</v>
          </cell>
          <cell r="B60" t="str">
            <v>BW26089LDJD018</v>
          </cell>
          <cell r="C60" t="str">
            <v>10</v>
          </cell>
          <cell r="D60" t="str">
            <v>1 UNIT SINOTRUK HOWO TX 6x4 DUMP TRUCK  1 UNIT  SINOTRUK HOWO TX 10 T CRANE TRUCK ( VOIR BL)</v>
          </cell>
          <cell r="E60">
            <v>2</v>
          </cell>
          <cell r="F60">
            <v>30000</v>
          </cell>
          <cell r="G60" t="str">
            <v>BENTAMRA MOHAMED MANSOUR</v>
          </cell>
          <cell r="H60" t="str">
            <v>LZZ5ELSDXTA505891</v>
          </cell>
          <cell r="I60" t="str">
            <v>ZZ3257V384GB1</v>
          </cell>
          <cell r="J60" t="str">
            <v>ENGINS</v>
          </cell>
          <cell r="K60" t="str">
            <v>ENGINS</v>
          </cell>
          <cell r="L60" t="str">
            <v/>
          </cell>
        </row>
        <row r="61">
          <cell r="A61" t="str">
            <v>DJI202600161</v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>
            <v>15000</v>
          </cell>
          <cell r="G61" t="str">
            <v/>
          </cell>
          <cell r="H61" t="str">
            <v>LZZ5BLSF7TA505843</v>
          </cell>
          <cell r="I61" t="str">
            <v>ZZ1257N464GB1</v>
          </cell>
          <cell r="J61" t="str">
            <v>ENGINS</v>
          </cell>
          <cell r="K61" t="str">
            <v>ENGINS</v>
          </cell>
          <cell r="L61" t="str">
            <v/>
          </cell>
        </row>
        <row r="62">
          <cell r="A62" t="str">
            <v>DJI202600161</v>
          </cell>
          <cell r="B62" t="str">
            <v>BW26089LDJD020</v>
          </cell>
          <cell r="C62" t="str">
            <v>11</v>
          </cell>
          <cell r="D62" t="str">
            <v>1 UNIT SINOTRUK HOWO TX 6X4 DUMP TRUCK  1 UNIT  SINOTRUK HOWO TX 12 T CRANE TRUCK ( VOIR BL)</v>
          </cell>
          <cell r="E62">
            <v>2</v>
          </cell>
          <cell r="F62">
            <v>30000</v>
          </cell>
          <cell r="G62" t="str">
            <v>BEKKI MOHAMED YAZID</v>
          </cell>
          <cell r="H62" t="str">
            <v>LZZ5ELSD1TA505892</v>
          </cell>
          <cell r="I62" t="str">
            <v>ZZ3257V384GB1</v>
          </cell>
          <cell r="J62" t="str">
            <v>ENGINS</v>
          </cell>
          <cell r="K62" t="str">
            <v>ENGINS</v>
          </cell>
          <cell r="L62" t="str">
            <v/>
          </cell>
        </row>
        <row r="63">
          <cell r="A63" t="str">
            <v>DJI202600161</v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>
            <v>15000</v>
          </cell>
          <cell r="G63" t="str">
            <v/>
          </cell>
          <cell r="H63" t="str">
            <v>LZZ5BLSF5TA505842</v>
          </cell>
          <cell r="I63" t="str">
            <v>ZZ1257N464GB1</v>
          </cell>
          <cell r="J63" t="str">
            <v>ENGINS</v>
          </cell>
          <cell r="K63" t="str">
            <v>ENGINS</v>
          </cell>
          <cell r="L63" t="str">
            <v/>
          </cell>
        </row>
        <row r="64">
          <cell r="A64" t="str">
            <v>DJI202600161</v>
          </cell>
          <cell r="B64" t="str">
            <v>BW26089LDJD022</v>
          </cell>
          <cell r="C64" t="str">
            <v>12</v>
          </cell>
          <cell r="D64" t="str">
            <v>1 UNIT SHACMAN F2000 20M3 WATER TANKER TRUCK ( VOIR BL)</v>
          </cell>
          <cell r="E64">
            <v>1</v>
          </cell>
          <cell r="F64">
            <v>12500</v>
          </cell>
          <cell r="G64" t="str">
            <v>HENICHE RAMDANE</v>
          </cell>
          <cell r="H64" t="str">
            <v>LZGJLJM40TX037634</v>
          </cell>
          <cell r="I64" t="str">
            <v>SX5255GYSJM434</v>
          </cell>
          <cell r="J64" t="str">
            <v>ENGINS</v>
          </cell>
          <cell r="K64" t="str">
            <v>ENGINS</v>
          </cell>
          <cell r="L64" t="str">
            <v/>
          </cell>
        </row>
        <row r="65">
          <cell r="A65" t="str">
            <v>DJI202600161</v>
          </cell>
          <cell r="B65" t="str">
            <v>BW26089LDJD023</v>
          </cell>
          <cell r="C65" t="str">
            <v>13</v>
          </cell>
          <cell r="D65" t="str">
            <v>1 NUNIT  SHACMAN F2000 6X4 DUMP TRUCK 1 UNIT  SHACMAN F2000 6X4 9M3 CONCRETE MIXER TRUCK ( VOIR BL)</v>
          </cell>
          <cell r="E65">
            <v>2</v>
          </cell>
          <cell r="F65">
            <v>28500</v>
          </cell>
          <cell r="G65" t="str">
            <v>BELLAHRECHE ABDELWAHEB</v>
          </cell>
          <cell r="H65" t="str">
            <v>LZGJLJM40TX038847</v>
          </cell>
          <cell r="I65" t="str">
            <v>SX3255JM384</v>
          </cell>
          <cell r="J65" t="str">
            <v>ENGINS</v>
          </cell>
          <cell r="K65" t="str">
            <v>ENGINS</v>
          </cell>
          <cell r="L65" t="str">
            <v/>
          </cell>
        </row>
        <row r="66">
          <cell r="A66" t="str">
            <v>DJI202600161</v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>
            <v>14250</v>
          </cell>
          <cell r="G66" t="str">
            <v/>
          </cell>
          <cell r="H66" t="str">
            <v>LZGJLJR4XTX033051</v>
          </cell>
          <cell r="I66" t="str">
            <v>SX5255GJBJR334</v>
          </cell>
          <cell r="J66" t="str">
            <v>ENGINS</v>
          </cell>
          <cell r="K66" t="str">
            <v>ENGINS</v>
          </cell>
          <cell r="L66" t="str">
            <v/>
          </cell>
        </row>
        <row r="67">
          <cell r="A67" t="str">
            <v>DJI202600161</v>
          </cell>
          <cell r="B67" t="str">
            <v>BW26089LDJD024</v>
          </cell>
          <cell r="C67" t="str">
            <v>14</v>
          </cell>
          <cell r="D67" t="str">
            <v>1 UNIT SINOTRUK SITRAK 6X4 MIXER TRUCK 1 UNIT SINOTRUK SITRAK 8X4 TIPPER TRUCK ( VOIR BL)</v>
          </cell>
          <cell r="E67">
            <v>2</v>
          </cell>
          <cell r="F67">
            <v>31000</v>
          </cell>
          <cell r="G67" t="str">
            <v>MOUILAH TEDJINI RUE FERDJI</v>
          </cell>
          <cell r="H67" t="str">
            <v>LZZ8BLVD3TC789323</v>
          </cell>
          <cell r="I67" t="str">
            <v>ZZ1256V384MC1</v>
          </cell>
          <cell r="J67" t="str">
            <v>ENGINS</v>
          </cell>
          <cell r="K67" t="str">
            <v>ENGINS</v>
          </cell>
          <cell r="L67" t="str">
            <v/>
          </cell>
        </row>
        <row r="68">
          <cell r="A68" t="str">
            <v>DJI202600161</v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>
            <v>15500</v>
          </cell>
          <cell r="G68" t="str">
            <v/>
          </cell>
          <cell r="H68" t="str">
            <v>LZZ8EXVA6SC695939</v>
          </cell>
          <cell r="I68" t="str">
            <v>ZZ3316V306MC1</v>
          </cell>
          <cell r="J68" t="str">
            <v>ENGINS</v>
          </cell>
          <cell r="K68" t="str">
            <v>ENGINS</v>
          </cell>
          <cell r="L68" t="str">
            <v/>
          </cell>
        </row>
        <row r="69">
          <cell r="A69" t="str">
            <v>DJI202600161</v>
          </cell>
          <cell r="B69" t="str">
            <v>BW26089LDJD029</v>
          </cell>
          <cell r="C69" t="str">
            <v>15</v>
          </cell>
          <cell r="D69" t="str">
            <v>1 UNIT  SINOTRUK HOWO TX 8X4 TIPPER TRUCK LHD-22CBM ( VOIR BL)</v>
          </cell>
          <cell r="E69">
            <v>1</v>
          </cell>
          <cell r="F69">
            <v>17500</v>
          </cell>
          <cell r="G69" t="str">
            <v>HOUSING BANK FOR TRADE AND FINANCE ALGERIA LOCATAI</v>
          </cell>
          <cell r="H69" t="str">
            <v>LZZ5EXSCXTA635040</v>
          </cell>
          <cell r="I69" t="str">
            <v>ZZ3317V356GB1</v>
          </cell>
          <cell r="J69" t="str">
            <v>ENGINS</v>
          </cell>
          <cell r="K69" t="str">
            <v>ENGINS</v>
          </cell>
          <cell r="L69" t="str">
            <v/>
          </cell>
        </row>
        <row r="70">
          <cell r="A70" t="str">
            <v>DJI202600161</v>
          </cell>
          <cell r="B70" t="str">
            <v>BW26089LDJD030</v>
          </cell>
          <cell r="C70" t="str">
            <v>16</v>
          </cell>
          <cell r="D70" t="str">
            <v>1 UNIT EQUIPEMENT SHACMAN F2000 20M3 WATER TANKER TRUCK  ( VOIR BL)</v>
          </cell>
          <cell r="E70">
            <v>1</v>
          </cell>
          <cell r="F70">
            <v>12500</v>
          </cell>
          <cell r="G70" t="str">
            <v>HOUSING BANK FOR TRADE AND FINANCE ALGERIA LOCATAI</v>
          </cell>
          <cell r="H70" t="str">
            <v>LZGJLJM46TX041056</v>
          </cell>
          <cell r="I70" t="str">
            <v>SX5255GYSJM434</v>
          </cell>
          <cell r="J70" t="str">
            <v>ENGINS</v>
          </cell>
          <cell r="K70" t="str">
            <v>ENGINS</v>
          </cell>
          <cell r="L70" t="str">
            <v/>
          </cell>
        </row>
        <row r="71">
          <cell r="A71" t="str">
            <v>DJI202600161</v>
          </cell>
          <cell r="B71" t="str">
            <v>BW26089LDJD032</v>
          </cell>
          <cell r="C71" t="str">
            <v>17</v>
          </cell>
          <cell r="D71" t="str">
            <v>1 UNIT SHACMAN F3000 6*4 DUMP TRUCK 340HP (VOIR BL)</v>
          </cell>
          <cell r="E71">
            <v>1</v>
          </cell>
          <cell r="F71">
            <v>15000</v>
          </cell>
          <cell r="G71" t="str">
            <v>EURL MECELTI</v>
          </cell>
          <cell r="H71" t="str">
            <v>LZGJLDR43TX038299</v>
          </cell>
          <cell r="I71" t="str">
            <v>SX3255DR384</v>
          </cell>
          <cell r="J71" t="str">
            <v>ENGINS</v>
          </cell>
          <cell r="K71" t="str">
            <v>ENGINS</v>
          </cell>
          <cell r="L71" t="str">
            <v/>
          </cell>
        </row>
        <row r="72">
          <cell r="A72" t="str">
            <v>DJI202600161</v>
          </cell>
          <cell r="B72" t="str">
            <v>BW26089LDJD033</v>
          </cell>
          <cell r="C72" t="str">
            <v>18</v>
          </cell>
          <cell r="D72" t="str">
            <v>1 UNIT HOWO TX 4X2 TRUCK WITH 08 TON FOLDING CRANE ( VOIR BL)</v>
          </cell>
          <cell r="E72">
            <v>1</v>
          </cell>
          <cell r="F72">
            <v>10500</v>
          </cell>
          <cell r="G72" t="str">
            <v>ELKEBAILI MOHAMMED ELAMINE</v>
          </cell>
          <cell r="H72" t="str">
            <v>LZZ5ACMF6TD563134</v>
          </cell>
          <cell r="I72" t="str">
            <v>ZZ1187N461GB1</v>
          </cell>
          <cell r="J72" t="str">
            <v>ENGINS</v>
          </cell>
          <cell r="K72" t="str">
            <v>ENGINS</v>
          </cell>
          <cell r="L72" t="str">
            <v/>
          </cell>
        </row>
        <row r="73">
          <cell r="A73" t="str">
            <v>DJI202600161</v>
          </cell>
          <cell r="B73" t="str">
            <v>BW26089LDJD034</v>
          </cell>
          <cell r="C73" t="str">
            <v>19</v>
          </cell>
          <cell r="D73" t="str">
            <v>1 UNIT HOWO TX 4X2 TRUCK WITH 08 TON FOLDING CRANE ( VOIR BL)</v>
          </cell>
          <cell r="E73">
            <v>1</v>
          </cell>
          <cell r="F73">
            <v>10500</v>
          </cell>
          <cell r="G73" t="str">
            <v>BOUCHENAK BENAOUDA</v>
          </cell>
          <cell r="H73" t="str">
            <v>LZZ5ACMF8TD563135</v>
          </cell>
          <cell r="I73" t="str">
            <v>ZZ1187N461GB1</v>
          </cell>
          <cell r="J73" t="str">
            <v>ENGINS</v>
          </cell>
          <cell r="K73" t="str">
            <v>ENGINS</v>
          </cell>
          <cell r="L73" t="str">
            <v/>
          </cell>
        </row>
        <row r="74">
          <cell r="A74" t="str">
            <v>DJI202600161</v>
          </cell>
          <cell r="B74" t="str">
            <v>BW26089LDJD035</v>
          </cell>
          <cell r="C74" t="str">
            <v>20</v>
          </cell>
          <cell r="D74" t="str">
            <v>1 UNIT SHACMAN L 3000 ASPHALT TRUCK 8 m3 ( VOIR BL)</v>
          </cell>
          <cell r="E74">
            <v>1</v>
          </cell>
          <cell r="F74">
            <v>13570</v>
          </cell>
          <cell r="G74" t="str">
            <v>HADJI SALIM</v>
          </cell>
          <cell r="H74" t="str">
            <v>LZGCD2J17TX037569</v>
          </cell>
          <cell r="I74" t="str">
            <v>L3000</v>
          </cell>
          <cell r="J74" t="str">
            <v>ENGINS</v>
          </cell>
          <cell r="K74" t="str">
            <v>ENGINS</v>
          </cell>
          <cell r="L74" t="str">
            <v/>
          </cell>
        </row>
        <row r="75">
          <cell r="A75" t="str">
            <v>DJI202600161</v>
          </cell>
          <cell r="B75" t="str">
            <v>BW26089LDJD036</v>
          </cell>
          <cell r="C75" t="str">
            <v>21</v>
          </cell>
          <cell r="D75" t="str">
            <v>1 UNIT XCMG ZL50GN WHEEL LOADER   /2 UNITS XCMG MOTOR GRADER GR215   /2 UNITS XCMG SINGLE DRUM ROAD ROLLER XS203J    /2 UNITS XCMG TIRE ROAD ROLLER XP263 (VOIR BL)</v>
          </cell>
          <cell r="E75">
            <v>7</v>
          </cell>
          <cell r="F75">
            <v>142100</v>
          </cell>
          <cell r="G75" t="str">
            <v>SARL ROWAIL SERVICES</v>
          </cell>
          <cell r="H75" t="str">
            <v>XUG0050GLTCB03474</v>
          </cell>
          <cell r="I75" t="str">
            <v>ZL50GN</v>
          </cell>
          <cell r="J75" t="str">
            <v>ENGINS</v>
          </cell>
          <cell r="K75" t="str">
            <v>ENGINS</v>
          </cell>
          <cell r="L75" t="str">
            <v/>
          </cell>
        </row>
        <row r="76">
          <cell r="A76" t="str">
            <v>DJI202600161</v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>
            <v>20300</v>
          </cell>
          <cell r="G76" t="str">
            <v/>
          </cell>
          <cell r="H76" t="str">
            <v>XUG215D3KTDB00185</v>
          </cell>
          <cell r="I76" t="str">
            <v>GR215</v>
          </cell>
          <cell r="J76" t="str">
            <v>ENGINS</v>
          </cell>
          <cell r="K76" t="str">
            <v>ENGINS</v>
          </cell>
          <cell r="L76" t="str">
            <v/>
          </cell>
        </row>
        <row r="77">
          <cell r="A77" t="str">
            <v>DJI202600161</v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>
            <v>20300</v>
          </cell>
          <cell r="G77" t="str">
            <v/>
          </cell>
          <cell r="H77" t="str">
            <v>XUG215D3VTDB00188</v>
          </cell>
          <cell r="I77" t="str">
            <v>GR215</v>
          </cell>
          <cell r="J77" t="str">
            <v>ENGINS</v>
          </cell>
          <cell r="K77" t="str">
            <v>ENGINS</v>
          </cell>
          <cell r="L77" t="str">
            <v/>
          </cell>
        </row>
        <row r="78">
          <cell r="A78" t="str">
            <v>DJI202600161</v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>
            <v>20300</v>
          </cell>
          <cell r="G78" t="str">
            <v/>
          </cell>
          <cell r="H78" t="str">
            <v>XUG00203TTJE01830</v>
          </cell>
          <cell r="I78" t="str">
            <v>XS203J</v>
          </cell>
          <cell r="J78" t="str">
            <v>ENGINS</v>
          </cell>
          <cell r="K78" t="str">
            <v>ENGINS</v>
          </cell>
          <cell r="L78" t="str">
            <v/>
          </cell>
        </row>
        <row r="79">
          <cell r="A79" t="str">
            <v>DJI202600161</v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>
            <v>20300</v>
          </cell>
          <cell r="G79" t="str">
            <v/>
          </cell>
          <cell r="H79" t="str">
            <v>XUG00203PTJE01831</v>
          </cell>
          <cell r="I79" t="str">
            <v>XS203J</v>
          </cell>
          <cell r="J79" t="str">
            <v>ENGINS</v>
          </cell>
          <cell r="K79" t="str">
            <v>ENGINS</v>
          </cell>
          <cell r="L79" t="str">
            <v/>
          </cell>
        </row>
        <row r="80">
          <cell r="A80" t="str">
            <v>DJI202600161</v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>
            <v>20300</v>
          </cell>
          <cell r="G80" t="str">
            <v/>
          </cell>
          <cell r="H80" t="str">
            <v>XUG02634KTJE01965</v>
          </cell>
          <cell r="I80" t="str">
            <v>XP263</v>
          </cell>
          <cell r="J80" t="str">
            <v>ENGINS</v>
          </cell>
          <cell r="K80" t="str">
            <v>ENGINS</v>
          </cell>
          <cell r="L80" t="str">
            <v/>
          </cell>
        </row>
        <row r="81">
          <cell r="A81" t="str">
            <v>DJI202600161</v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>
            <v>20300</v>
          </cell>
          <cell r="G81" t="str">
            <v/>
          </cell>
          <cell r="H81" t="str">
            <v>XUG02634JTJE01966</v>
          </cell>
          <cell r="I81" t="str">
            <v>XP263</v>
          </cell>
          <cell r="J81" t="str">
            <v>ENGINS</v>
          </cell>
          <cell r="K81" t="str">
            <v>ENGINS</v>
          </cell>
          <cell r="L81" t="str">
            <v/>
          </cell>
        </row>
        <row r="82">
          <cell r="A82" t="str">
            <v>DJI202600161</v>
          </cell>
          <cell r="B82" t="str">
            <v>BW26089LDJD037</v>
          </cell>
          <cell r="C82" t="str">
            <v>22</v>
          </cell>
          <cell r="D82" t="str">
            <v>3 UNITS CONTAINER TRUCK (VOIR BL)</v>
          </cell>
          <cell r="E82">
            <v>3</v>
          </cell>
          <cell r="F82">
            <v>10800</v>
          </cell>
          <cell r="G82" t="str">
            <v>SARL CHRONO PACK</v>
          </cell>
          <cell r="H82" t="str">
            <v>LWLDAJMG9TL041663</v>
          </cell>
          <cell r="I82" t="str">
            <v>SCS5100XRQEQ6</v>
          </cell>
          <cell r="J82" t="str">
            <v>ENGINS</v>
          </cell>
          <cell r="K82" t="str">
            <v>ENGINS</v>
          </cell>
          <cell r="L82" t="str">
            <v/>
          </cell>
        </row>
        <row r="83">
          <cell r="A83" t="str">
            <v>DJI202600161</v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>
            <v>3600</v>
          </cell>
          <cell r="G83" t="str">
            <v/>
          </cell>
          <cell r="H83" t="str">
            <v>LWLDAJMG7TL041662</v>
          </cell>
          <cell r="I83" t="str">
            <v>SCS5100XRQEQ6</v>
          </cell>
          <cell r="J83" t="str">
            <v>ENGINS</v>
          </cell>
          <cell r="K83" t="str">
            <v>ENGINS</v>
          </cell>
          <cell r="L83" t="str">
            <v/>
          </cell>
        </row>
        <row r="84">
          <cell r="A84" t="str">
            <v>DJI202600161</v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>
            <v>3600</v>
          </cell>
          <cell r="G84" t="str">
            <v/>
          </cell>
          <cell r="H84" t="str">
            <v>LWLDAJMG0TL041664</v>
          </cell>
          <cell r="I84" t="str">
            <v>SCS5100XRQEQ6</v>
          </cell>
          <cell r="J84" t="str">
            <v>ENGINS</v>
          </cell>
          <cell r="K84" t="str">
            <v>ENGINS</v>
          </cell>
          <cell r="L84" t="str">
            <v/>
          </cell>
        </row>
        <row r="85">
          <cell r="A85" t="str">
            <v>DJI202600161</v>
          </cell>
          <cell r="B85" t="str">
            <v>BW26089LDJD038</v>
          </cell>
          <cell r="C85" t="str">
            <v>23</v>
          </cell>
          <cell r="D85" t="str">
            <v>SPARE PARTS FOR GUARRANTY</v>
          </cell>
          <cell r="E85">
            <v>23</v>
          </cell>
          <cell r="F85">
            <v>994</v>
          </cell>
          <cell r="G85" t="str">
            <v>SARL CHRONO PACK</v>
          </cell>
          <cell r="H85" t="str">
            <v/>
          </cell>
          <cell r="I85" t="str">
            <v/>
          </cell>
          <cell r="J85" t="str">
            <v>COLIS</v>
          </cell>
          <cell r="K85" t="str">
            <v>COLIS</v>
          </cell>
          <cell r="L85" t="str">
            <v/>
          </cell>
        </row>
        <row r="86">
          <cell r="A86" t="str">
            <v>DJI202600161</v>
          </cell>
          <cell r="B86" t="str">
            <v>BW26089LDJD039</v>
          </cell>
          <cell r="C86" t="str">
            <v>24</v>
          </cell>
          <cell r="D86" t="str">
            <v>1 UNIT SINOTRUK SITRAK 6X4 TIPPER TRUCK LHD-MANUAL GEARBOX (VOIR BL)</v>
          </cell>
          <cell r="E86">
            <v>1</v>
          </cell>
          <cell r="F86">
            <v>14240</v>
          </cell>
          <cell r="G86" t="str">
            <v>S.A.R.L.MGPH OUEST</v>
          </cell>
          <cell r="H86" t="str">
            <v>LZZ8ELVD3TC781360</v>
          </cell>
          <cell r="I86" t="str">
            <v>ZZ3256V364MC1</v>
          </cell>
          <cell r="J86" t="str">
            <v>ENGINS</v>
          </cell>
          <cell r="K86" t="str">
            <v>ENGINS</v>
          </cell>
          <cell r="L86" t="str">
            <v/>
          </cell>
        </row>
        <row r="87">
          <cell r="A87" t="str">
            <v>DJI202600161</v>
          </cell>
          <cell r="B87" t="str">
            <v>BW26089LDJD040</v>
          </cell>
          <cell r="C87" t="str">
            <v>25</v>
          </cell>
          <cell r="D87" t="str">
            <v>BREAKING HAMMER</v>
          </cell>
          <cell r="E87">
            <v>9</v>
          </cell>
          <cell r="F87">
            <v>10923</v>
          </cell>
          <cell r="G87" t="str">
            <v>CHINA ROAD AND BRIDGE CORPORATION</v>
          </cell>
          <cell r="H87" t="str">
            <v/>
          </cell>
          <cell r="I87" t="str">
            <v/>
          </cell>
          <cell r="J87" t="str">
            <v>COLIS</v>
          </cell>
          <cell r="K87" t="str">
            <v>COLIS</v>
          </cell>
          <cell r="L87" t="str">
            <v/>
          </cell>
        </row>
        <row r="88">
          <cell r="A88" t="str">
            <v>DJI202600161</v>
          </cell>
          <cell r="B88" t="str">
            <v>BW26089LDJD041</v>
          </cell>
          <cell r="C88" t="str">
            <v>26</v>
          </cell>
          <cell r="D88" t="str">
            <v>1 UNIT SINOTRUK 4X2 CARGO TRUCK 5TON ( VOIR BL)</v>
          </cell>
          <cell r="E88">
            <v>1</v>
          </cell>
          <cell r="F88">
            <v>3500</v>
          </cell>
          <cell r="G88" t="str">
            <v>BOURZAMA DJAMEL</v>
          </cell>
          <cell r="H88" t="str">
            <v>LEZAB1CBXTF146896</v>
          </cell>
          <cell r="I88" t="str">
            <v>ZZ1048E3414C1</v>
          </cell>
          <cell r="J88" t="str">
            <v>ENGINS</v>
          </cell>
          <cell r="K88" t="str">
            <v>ENGINS</v>
          </cell>
          <cell r="L88" t="str">
            <v/>
          </cell>
        </row>
        <row r="89">
          <cell r="A89" t="str">
            <v>DJI202600161</v>
          </cell>
          <cell r="B89" t="str">
            <v>BW26089LDJD042</v>
          </cell>
          <cell r="C89" t="str">
            <v>27</v>
          </cell>
          <cell r="D89" t="str">
            <v>1 UNIT SINOTRUK SITRAK 6X4 TRACTOR 6X4 TRACTOR AUTOMATIC GEARBOX LHD ( VOIR BL)</v>
          </cell>
          <cell r="E89">
            <v>1</v>
          </cell>
          <cell r="F89">
            <v>8800</v>
          </cell>
          <cell r="G89" t="str">
            <v>SARL ARAOU MAT</v>
          </cell>
          <cell r="H89" t="str">
            <v>LZZ7CLVD7SC708654</v>
          </cell>
          <cell r="I89" t="str">
            <v>ZZ4256V364HC1B</v>
          </cell>
          <cell r="J89" t="str">
            <v>ENGINS</v>
          </cell>
          <cell r="K89" t="str">
            <v>ENGINS</v>
          </cell>
          <cell r="L89" t="str">
            <v/>
          </cell>
        </row>
        <row r="90">
          <cell r="A90" t="str">
            <v>DJI202600161</v>
          </cell>
          <cell r="B90" t="str">
            <v>BW26089LDJD043-045</v>
          </cell>
          <cell r="C90" t="str">
            <v>28</v>
          </cell>
          <cell r="D90" t="str">
            <v>1 UNIT SINOTRUK HOWO 8X4 DUMP TRUCK /1 UNIT CIMC 3 AXLES BACK TIPPER SEMI-TRAILER /1 UNIT CIMC 3 AXLES CARGO AND CONTAINER SEMI-TRAILER /1 UNIT SITRAK HUIT FOIS QUATRE TIPPER TRUCK LHD 8X4 /1 UNIT SITRAK 6X4 TRACTOR-MANUAL GEARBOX  - VOIR BL)</v>
          </cell>
          <cell r="E90">
            <v>5</v>
          </cell>
          <cell r="F90">
            <v>63400</v>
          </cell>
          <cell r="G90" t="str">
            <v>EURL ITMEM DE LA PROMOTION ET DES TRAVAUX PUBLIC</v>
          </cell>
          <cell r="H90" t="str">
            <v>LZZ5EXVC4TA506075</v>
          </cell>
          <cell r="I90" t="str">
            <v>ZZ3317V356GB1</v>
          </cell>
          <cell r="J90" t="str">
            <v>ENGINS</v>
          </cell>
          <cell r="K90" t="str">
            <v>ENGINS</v>
          </cell>
          <cell r="L90" t="str">
            <v/>
          </cell>
        </row>
        <row r="91">
          <cell r="A91" t="str">
            <v>DJI202600161</v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>
            <v>12680</v>
          </cell>
          <cell r="G91" t="str">
            <v/>
          </cell>
          <cell r="H91" t="str">
            <v>LJRD09384TNC74957</v>
          </cell>
          <cell r="I91" t="str">
            <v>CSQ9403ZZX</v>
          </cell>
          <cell r="J91" t="str">
            <v>ENGINS</v>
          </cell>
          <cell r="K91" t="str">
            <v>ENGINS</v>
          </cell>
          <cell r="L91" t="str">
            <v/>
          </cell>
        </row>
        <row r="92">
          <cell r="A92" t="str">
            <v>DJI202600161</v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>
            <v>12680</v>
          </cell>
          <cell r="G92" t="str">
            <v/>
          </cell>
          <cell r="H92" t="str">
            <v>LJRB13384TN074871</v>
          </cell>
          <cell r="I92" t="str">
            <v>ZJV9400DY</v>
          </cell>
          <cell r="J92" t="str">
            <v>ENGINS</v>
          </cell>
          <cell r="K92" t="str">
            <v>ENGINS</v>
          </cell>
          <cell r="L92" t="str">
            <v/>
          </cell>
        </row>
        <row r="93">
          <cell r="A93" t="str">
            <v>DJI202600161</v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>
            <v>12680</v>
          </cell>
          <cell r="G93" t="str">
            <v/>
          </cell>
          <cell r="H93" t="str">
            <v>LZZ8EXVA5TC784998</v>
          </cell>
          <cell r="I93" t="str">
            <v>ZZ3316V306MC1</v>
          </cell>
          <cell r="J93" t="str">
            <v>ENGINS</v>
          </cell>
          <cell r="K93" t="str">
            <v>ENGINS</v>
          </cell>
          <cell r="L93" t="str">
            <v/>
          </cell>
        </row>
        <row r="94">
          <cell r="A94" t="str">
            <v>DJI202600161</v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>
            <v>12680</v>
          </cell>
          <cell r="G94" t="str">
            <v/>
          </cell>
          <cell r="H94" t="str">
            <v>LZZ7CLVD1TC785019</v>
          </cell>
          <cell r="I94" t="str">
            <v>ZZ4256V364HC1B</v>
          </cell>
          <cell r="J94" t="str">
            <v>ENGINS</v>
          </cell>
          <cell r="K94" t="str">
            <v>ENGINS</v>
          </cell>
          <cell r="L94" t="str">
            <v/>
          </cell>
        </row>
        <row r="95">
          <cell r="A95" t="str">
            <v>DJI202600161</v>
          </cell>
          <cell r="B95" t="str">
            <v>BW26089LDJD046/047</v>
          </cell>
          <cell r="C95" t="str">
            <v>29</v>
          </cell>
          <cell r="D95" t="str">
            <v>1 UNIT XCMG ZL50GN WHEEL LOADER /1 UNIT XCMG GR215 MOTOR GRADER /1 UNIT XCMG XS183J SINGLE DRUM COMPACTOR/1 UNIT XCMG XP263 PNEUMATIC TIRE COMPACTOR /1 UNIT SHACMAN F2000 6X4 DUMP TRUCK /1 UNIT SHACMAN F2000 6X4 WATER TANK TRUCK (VOIR BL)</v>
          </cell>
          <cell r="E95">
            <v>6</v>
          </cell>
          <cell r="F95">
            <v>105150</v>
          </cell>
          <cell r="G95" t="str">
            <v>EL DJAZAIR IDJAR SPA  P/C SARL FRERES SEMOUNE TRAV</v>
          </cell>
          <cell r="H95" t="str">
            <v>XUG0050GVTCB00748</v>
          </cell>
          <cell r="I95" t="str">
            <v>ZL50GN</v>
          </cell>
          <cell r="J95" t="str">
            <v>ENGINS</v>
          </cell>
          <cell r="K95" t="str">
            <v>ENGINS</v>
          </cell>
          <cell r="L95" t="str">
            <v/>
          </cell>
        </row>
        <row r="96">
          <cell r="A96" t="str">
            <v>DJI202600161</v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>
            <v>17525</v>
          </cell>
          <cell r="G96" t="str">
            <v/>
          </cell>
          <cell r="H96" t="str">
            <v>XUG215D3ETDB00181</v>
          </cell>
          <cell r="I96" t="str">
            <v>GR215</v>
          </cell>
          <cell r="J96" t="str">
            <v>ENGINS</v>
          </cell>
          <cell r="K96" t="str">
            <v>ENGINS</v>
          </cell>
          <cell r="L96" t="str">
            <v/>
          </cell>
        </row>
        <row r="97">
          <cell r="A97" t="str">
            <v>DJI202600161</v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>
            <v>17525</v>
          </cell>
          <cell r="G97" t="str">
            <v/>
          </cell>
          <cell r="H97" t="str">
            <v>XUG01833CTJE00543</v>
          </cell>
          <cell r="I97" t="str">
            <v>XS183J</v>
          </cell>
          <cell r="J97" t="str">
            <v>ENGINS</v>
          </cell>
          <cell r="K97" t="str">
            <v>ENGINS</v>
          </cell>
          <cell r="L97" t="str">
            <v/>
          </cell>
        </row>
        <row r="98">
          <cell r="A98" t="str">
            <v>DJI202600161</v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>
            <v>17525</v>
          </cell>
          <cell r="G98" t="str">
            <v/>
          </cell>
          <cell r="H98" t="str">
            <v>XUG02634LTJE01150</v>
          </cell>
          <cell r="I98" t="str">
            <v>XP263</v>
          </cell>
          <cell r="J98" t="str">
            <v>ENGINS</v>
          </cell>
          <cell r="K98" t="str">
            <v>ENGINS</v>
          </cell>
          <cell r="L98" t="str">
            <v/>
          </cell>
        </row>
        <row r="99">
          <cell r="A99" t="str">
            <v>DJI202600161</v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>
            <v>17525</v>
          </cell>
          <cell r="G99" t="str">
            <v/>
          </cell>
          <cell r="H99" t="str">
            <v>LZGJLJM49TX038846</v>
          </cell>
          <cell r="I99" t="str">
            <v>SX3255JM384</v>
          </cell>
          <cell r="J99" t="str">
            <v>ENGINS</v>
          </cell>
          <cell r="K99" t="str">
            <v>ENGINS</v>
          </cell>
          <cell r="L99" t="str">
            <v/>
          </cell>
        </row>
        <row r="100">
          <cell r="A100" t="str">
            <v>DJI202600161</v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>
            <v>17525</v>
          </cell>
          <cell r="G100" t="str">
            <v/>
          </cell>
          <cell r="H100" t="str">
            <v>LZGJLJM49TX037633</v>
          </cell>
          <cell r="I100" t="str">
            <v>SX5255GYSJM434</v>
          </cell>
          <cell r="J100" t="str">
            <v>ENGINS</v>
          </cell>
          <cell r="K100" t="str">
            <v>ENGINS</v>
          </cell>
          <cell r="L100" t="str">
            <v/>
          </cell>
        </row>
        <row r="101">
          <cell r="A101" t="str">
            <v>DJI202600161</v>
          </cell>
          <cell r="B101" t="str">
            <v>BW26089LDJD048</v>
          </cell>
          <cell r="C101" t="str">
            <v>30</v>
          </cell>
          <cell r="D101" t="str">
            <v>1 UNIT SHACMAN F2000 6X4 DUMP TRUCK (VOIR BL )</v>
          </cell>
          <cell r="E101">
            <v>1</v>
          </cell>
          <cell r="F101">
            <v>15000</v>
          </cell>
          <cell r="G101" t="str">
            <v>EURL MISSAOUI TAYEB</v>
          </cell>
          <cell r="H101" t="str">
            <v>LZGJLJM45TX037094</v>
          </cell>
          <cell r="I101" t="str">
            <v>SX3255JM384</v>
          </cell>
          <cell r="J101" t="str">
            <v>ENGINS</v>
          </cell>
          <cell r="K101" t="str">
            <v>ENGINS</v>
          </cell>
          <cell r="L101" t="str">
            <v/>
          </cell>
        </row>
        <row r="102">
          <cell r="A102" t="str">
            <v>DJI202600161</v>
          </cell>
          <cell r="B102" t="str">
            <v>BW26089LDJD049</v>
          </cell>
          <cell r="C102" t="str">
            <v>31</v>
          </cell>
          <cell r="D102" t="str">
            <v>1 UNIT SHACMAN F3000 8X4 DUMP TRUCK ( VOIR BL)</v>
          </cell>
          <cell r="E102">
            <v>1</v>
          </cell>
          <cell r="F102">
            <v>17500</v>
          </cell>
          <cell r="G102" t="str">
            <v>SARL SOUR EL GHOZLANE AGREGATS</v>
          </cell>
          <cell r="H102" t="str">
            <v>LZGJRDT64TX038269</v>
          </cell>
          <cell r="I102" t="str">
            <v>SX3315DT306</v>
          </cell>
          <cell r="J102" t="str">
            <v>ENGINS</v>
          </cell>
          <cell r="K102" t="str">
            <v>ENGINS</v>
          </cell>
          <cell r="L102" t="str">
            <v/>
          </cell>
        </row>
        <row r="103">
          <cell r="A103" t="str">
            <v>DJI202600161</v>
          </cell>
          <cell r="B103" t="str">
            <v>BW26089LDJD050</v>
          </cell>
          <cell r="C103" t="str">
            <v>32</v>
          </cell>
          <cell r="D103" t="str">
            <v>1 UNIT  SHACMAN F2000 6X4 DUMP TRUCK ( VOIR BL)</v>
          </cell>
          <cell r="E103">
            <v>1</v>
          </cell>
          <cell r="F103">
            <v>15000</v>
          </cell>
          <cell r="G103" t="str">
            <v>BOUTAROUS NACER EDDINE</v>
          </cell>
          <cell r="H103" t="str">
            <v>LZGJLJM40TX038850</v>
          </cell>
          <cell r="I103" t="str">
            <v>SX3255JM384</v>
          </cell>
          <cell r="J103" t="str">
            <v>ENGINS</v>
          </cell>
          <cell r="K103" t="str">
            <v>ENGINS</v>
          </cell>
          <cell r="L103" t="str">
            <v/>
          </cell>
        </row>
        <row r="104">
          <cell r="A104" t="str">
            <v>DJI202600161</v>
          </cell>
          <cell r="B104" t="str">
            <v>BW26089LDJD051</v>
          </cell>
          <cell r="C104" t="str">
            <v>33</v>
          </cell>
          <cell r="D104" t="str">
            <v>1 UNIT SHACMAN F2000 6X4 DUMP TRUCK ( VOIR BL)</v>
          </cell>
          <cell r="E104">
            <v>1</v>
          </cell>
          <cell r="F104">
            <v>15000</v>
          </cell>
          <cell r="G104" t="str">
            <v>LEKNOUCHE AZZEDINE</v>
          </cell>
          <cell r="H104" t="str">
            <v>LZGJLJM46TX038853</v>
          </cell>
          <cell r="I104" t="str">
            <v>SX3255JM384</v>
          </cell>
          <cell r="J104" t="str">
            <v>ENGINS</v>
          </cell>
          <cell r="K104" t="str">
            <v>ENGINS</v>
          </cell>
          <cell r="L104" t="str">
            <v/>
          </cell>
        </row>
        <row r="105">
          <cell r="A105" t="str">
            <v>DJI202600161</v>
          </cell>
          <cell r="B105" t="str">
            <v>BW26089LDJD052</v>
          </cell>
          <cell r="C105" t="str">
            <v>34</v>
          </cell>
          <cell r="D105" t="str">
            <v>4 UNITS XCMG XD123 ROAD ROLLER/1 UNIT XCMG XP163 ROAD ROLLER/1 UNIT XCMG RP603 PAVER /1 UNIT RP603 BASIC PAVE WIDTH 2.5-4.75 MM/1 UNIT XCMG SLM3500S SELF-LOADING MIXER TRUCK ( VOIR BL)</v>
          </cell>
          <cell r="E105">
            <v>8</v>
          </cell>
          <cell r="F105">
            <v>56510</v>
          </cell>
          <cell r="G105" t="str">
            <v>CHAIB ALI</v>
          </cell>
          <cell r="H105" t="str">
            <v>XUG01232CSJE04661</v>
          </cell>
          <cell r="I105" t="str">
            <v>XD123</v>
          </cell>
          <cell r="J105" t="str">
            <v>ENGINS</v>
          </cell>
          <cell r="K105" t="str">
            <v>ENGINS</v>
          </cell>
          <cell r="L105" t="str">
            <v/>
          </cell>
        </row>
        <row r="106">
          <cell r="A106" t="str">
            <v>DJI202600161</v>
          </cell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>
            <v>14127</v>
          </cell>
          <cell r="G106" t="str">
            <v/>
          </cell>
          <cell r="H106" t="str">
            <v>XUG01634JTJE01372</v>
          </cell>
          <cell r="I106" t="str">
            <v>XP163</v>
          </cell>
          <cell r="J106" t="str">
            <v>ENGINS</v>
          </cell>
          <cell r="K106" t="str">
            <v>ENGINS</v>
          </cell>
          <cell r="L106" t="str">
            <v/>
          </cell>
        </row>
        <row r="107">
          <cell r="A107" t="str">
            <v>DJI202600161</v>
          </cell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>
            <v>14127</v>
          </cell>
          <cell r="G107" t="str">
            <v/>
          </cell>
          <cell r="H107" t="str">
            <v>XUG00603ETJR00113</v>
          </cell>
          <cell r="I107" t="str">
            <v>RP603</v>
          </cell>
          <cell r="J107" t="str">
            <v>ENGINS</v>
          </cell>
          <cell r="K107" t="str">
            <v>ENGINS</v>
          </cell>
          <cell r="L107" t="str">
            <v/>
          </cell>
        </row>
        <row r="108">
          <cell r="A108" t="str">
            <v>DJI202600161</v>
          </cell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>
            <v>14127</v>
          </cell>
          <cell r="G108" t="str">
            <v/>
          </cell>
          <cell r="H108" t="str">
            <v>2026023500013</v>
          </cell>
          <cell r="I108" t="str">
            <v>SLM3500S</v>
          </cell>
          <cell r="J108" t="str">
            <v>ENGINS</v>
          </cell>
          <cell r="K108" t="str">
            <v>ENGINS</v>
          </cell>
          <cell r="L108" t="str">
            <v/>
          </cell>
        </row>
        <row r="109">
          <cell r="A109" t="str">
            <v>DJI202600161</v>
          </cell>
          <cell r="B109" t="str">
            <v>BW26089LDJD053</v>
          </cell>
          <cell r="C109" t="str">
            <v>35</v>
          </cell>
          <cell r="D109" t="str">
            <v>1 UNIT XCMG SELF LOADING MIXER SLM2600S ( VOIR BL)</v>
          </cell>
          <cell r="E109">
            <v>3</v>
          </cell>
          <cell r="F109">
            <v>7210</v>
          </cell>
          <cell r="G109" t="str">
            <v>KHALDI SAAD</v>
          </cell>
          <cell r="H109" t="str">
            <v>2026020326005</v>
          </cell>
          <cell r="I109" t="str">
            <v>SLM2600S</v>
          </cell>
          <cell r="J109" t="str">
            <v>ENGINS</v>
          </cell>
          <cell r="K109" t="str">
            <v>ENGINS</v>
          </cell>
          <cell r="L109" t="str">
            <v/>
          </cell>
        </row>
        <row r="110">
          <cell r="A110" t="str">
            <v>DJI202600161</v>
          </cell>
          <cell r="B110" t="str">
            <v>BW26089LDJD054</v>
          </cell>
          <cell r="C110" t="str">
            <v>36</v>
          </cell>
          <cell r="D110" t="str">
            <v>1 UNIT SINOTRUK HOWO 4X2 HOOK LIFT GARBAGE TRUCK LHD-10T ( VOIR BL)</v>
          </cell>
          <cell r="E110">
            <v>1</v>
          </cell>
          <cell r="F110">
            <v>8740</v>
          </cell>
          <cell r="G110" t="str">
            <v>SARL ETUB BOUYAHIAOUI</v>
          </cell>
          <cell r="H110" t="str">
            <v>LZZ5BBNF4TN590915</v>
          </cell>
          <cell r="I110" t="str">
            <v>ZZ1167N4617B1</v>
          </cell>
          <cell r="J110" t="str">
            <v>ENGINS</v>
          </cell>
          <cell r="K110" t="str">
            <v>ENGINS</v>
          </cell>
          <cell r="L110" t="str">
            <v/>
          </cell>
        </row>
        <row r="111">
          <cell r="A111" t="str">
            <v>DJI202600161</v>
          </cell>
          <cell r="B111" t="str">
            <v>BW26089LDJD055</v>
          </cell>
          <cell r="C111" t="str">
            <v>37</v>
          </cell>
          <cell r="D111" t="str">
            <v>SPARE PARTS FOR TRUCK</v>
          </cell>
          <cell r="E111">
            <v>1</v>
          </cell>
          <cell r="F111">
            <v>151</v>
          </cell>
          <cell r="G111" t="str">
            <v>BOUYAHIAOUI</v>
          </cell>
          <cell r="H111" t="str">
            <v/>
          </cell>
          <cell r="I111" t="str">
            <v/>
          </cell>
          <cell r="J111" t="str">
            <v>COLIS</v>
          </cell>
          <cell r="K111" t="str">
            <v>COLIS</v>
          </cell>
          <cell r="L111" t="str">
            <v/>
          </cell>
        </row>
        <row r="112">
          <cell r="A112" t="str">
            <v>DJI202600161</v>
          </cell>
          <cell r="B112" t="str">
            <v>BW26089LDJD056</v>
          </cell>
          <cell r="C112" t="str">
            <v>38</v>
          </cell>
          <cell r="D112" t="str">
            <v>2 UNITS CAMION SINO TRUCK HOWO 4X2 LIGHT TRUCK 3.5T ( VOIR BL)</v>
          </cell>
          <cell r="E112">
            <v>2</v>
          </cell>
          <cell r="F112">
            <v>5560</v>
          </cell>
          <cell r="G112" t="str">
            <v>EURL PAL AURES</v>
          </cell>
          <cell r="H112" t="str">
            <v>LZZ5BZFB4TE599599</v>
          </cell>
          <cell r="I112" t="str">
            <v>HOWO</v>
          </cell>
          <cell r="J112" t="str">
            <v>ENGINS</v>
          </cell>
          <cell r="K112" t="str">
            <v>ENGINS</v>
          </cell>
          <cell r="L112" t="str">
            <v/>
          </cell>
        </row>
        <row r="113">
          <cell r="A113" t="str">
            <v>DJI202600161</v>
          </cell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>
            <v>2780</v>
          </cell>
          <cell r="G113" t="str">
            <v/>
          </cell>
          <cell r="H113" t="str">
            <v>LZZ5BZFB7TE599600</v>
          </cell>
          <cell r="I113" t="str">
            <v>HOWO</v>
          </cell>
          <cell r="J113" t="str">
            <v>ENGINS</v>
          </cell>
          <cell r="K113" t="str">
            <v>ENGINS</v>
          </cell>
          <cell r="L113" t="str">
            <v/>
          </cell>
        </row>
        <row r="114">
          <cell r="A114" t="str">
            <v>DJI202600161</v>
          </cell>
          <cell r="B114" t="str">
            <v>BW26089LDJD060</v>
          </cell>
          <cell r="C114" t="str">
            <v>39</v>
          </cell>
          <cell r="D114" t="str">
            <v>FEUILLARD GALVANISE</v>
          </cell>
          <cell r="E114">
            <v>47</v>
          </cell>
          <cell r="F114">
            <v>346395</v>
          </cell>
          <cell r="G114" t="str">
            <v>BENOUATAS INDUSTRIE SARL</v>
          </cell>
          <cell r="H114" t="str">
            <v/>
          </cell>
          <cell r="I114" t="str">
            <v/>
          </cell>
          <cell r="J114" t="str">
            <v>BOBINES</v>
          </cell>
          <cell r="K114" t="str">
            <v>BOBINES</v>
          </cell>
          <cell r="L114" t="str">
            <v/>
          </cell>
        </row>
        <row r="115">
          <cell r="A115" t="str">
            <v>DJI202600161</v>
          </cell>
          <cell r="B115" t="str">
            <v>BW26089LDJD062</v>
          </cell>
          <cell r="C115" t="str">
            <v>40</v>
          </cell>
          <cell r="D115" t="str">
            <v>CASING</v>
          </cell>
          <cell r="E115">
            <v>1366</v>
          </cell>
          <cell r="F115">
            <v>3427440</v>
          </cell>
          <cell r="G115" t="str">
            <v>SONATRACH DIVISION PRODUCTION</v>
          </cell>
          <cell r="H115" t="str">
            <v/>
          </cell>
          <cell r="I115" t="str">
            <v/>
          </cell>
          <cell r="J115" t="str">
            <v>TUBES</v>
          </cell>
          <cell r="K115" t="str">
            <v>TUBES</v>
          </cell>
          <cell r="L115" t="str">
            <v/>
          </cell>
        </row>
        <row r="116">
          <cell r="A116" t="str">
            <v>DJI202600161</v>
          </cell>
          <cell r="B116" t="str">
            <v>BW26089LDJD063</v>
          </cell>
          <cell r="C116" t="str">
            <v>41</v>
          </cell>
          <cell r="D116" t="str">
            <v>CASING</v>
          </cell>
          <cell r="E116">
            <v>1093</v>
          </cell>
          <cell r="F116">
            <v>2885964</v>
          </cell>
          <cell r="G116" t="str">
            <v>SONATRACH DIVISION PRODUCTION</v>
          </cell>
          <cell r="H116" t="str">
            <v/>
          </cell>
          <cell r="I116" t="str">
            <v/>
          </cell>
          <cell r="J116" t="str">
            <v>TUBES</v>
          </cell>
          <cell r="K116" t="str">
            <v>TUBES</v>
          </cell>
          <cell r="L116" t="str">
            <v/>
          </cell>
        </row>
        <row r="117">
          <cell r="A117" t="str">
            <v>DJI202600161</v>
          </cell>
          <cell r="B117" t="str">
            <v>BW26089LDJD064</v>
          </cell>
          <cell r="C117" t="str">
            <v>42</v>
          </cell>
          <cell r="D117" t="str">
            <v>CASING</v>
          </cell>
          <cell r="E117">
            <v>1072</v>
          </cell>
          <cell r="F117">
            <v>1001040</v>
          </cell>
          <cell r="G117" t="str">
            <v>SONATRACH DIVISION PRODUCTION</v>
          </cell>
          <cell r="H117" t="str">
            <v/>
          </cell>
          <cell r="I117" t="str">
            <v/>
          </cell>
          <cell r="J117" t="str">
            <v>TUBES</v>
          </cell>
          <cell r="K117" t="str">
            <v>TUBES</v>
          </cell>
          <cell r="L117" t="str">
            <v/>
          </cell>
        </row>
        <row r="118">
          <cell r="A118" t="str">
            <v>DJI202600161</v>
          </cell>
          <cell r="B118" t="str">
            <v>BW26089LDJD065</v>
          </cell>
          <cell r="C118" t="str">
            <v>43</v>
          </cell>
          <cell r="D118" t="str">
            <v>CASING</v>
          </cell>
          <cell r="E118">
            <v>1223</v>
          </cell>
          <cell r="F118">
            <v>3015344</v>
          </cell>
          <cell r="G118" t="str">
            <v>SONATRACH DIVISION PRODUCTION</v>
          </cell>
          <cell r="H118" t="str">
            <v/>
          </cell>
          <cell r="I118" t="str">
            <v/>
          </cell>
          <cell r="J118" t="str">
            <v>TUBES</v>
          </cell>
          <cell r="K118" t="str">
            <v>TUBES</v>
          </cell>
          <cell r="L118" t="str">
            <v/>
          </cell>
        </row>
        <row r="119">
          <cell r="A119" t="str">
            <v>DJI202600161</v>
          </cell>
          <cell r="B119" t="str">
            <v>BW26089LDJD066</v>
          </cell>
          <cell r="C119" t="str">
            <v>44</v>
          </cell>
          <cell r="D119" t="str">
            <v>CASING</v>
          </cell>
          <cell r="E119">
            <v>5145</v>
          </cell>
          <cell r="F119">
            <v>4072040</v>
          </cell>
          <cell r="G119" t="str">
            <v>SONATRACH DIVISION PRODUCTION</v>
          </cell>
          <cell r="H119" t="str">
            <v/>
          </cell>
          <cell r="I119" t="str">
            <v/>
          </cell>
          <cell r="J119" t="str">
            <v>TUBES</v>
          </cell>
          <cell r="K119" t="str">
            <v>TUBES</v>
          </cell>
          <cell r="L119" t="str">
            <v/>
          </cell>
        </row>
        <row r="120">
          <cell r="A120" t="str">
            <v>DJI202600161</v>
          </cell>
          <cell r="B120" t="str">
            <v>BW26089LDJD068/069/070</v>
          </cell>
          <cell r="C120" t="str">
            <v>45</v>
          </cell>
          <cell r="D120" t="str">
            <v>CASING</v>
          </cell>
          <cell r="E120">
            <v>4982</v>
          </cell>
          <cell r="F120">
            <v>5333909</v>
          </cell>
          <cell r="G120" t="str">
            <v>SONATRACH DIVISION PRODUCTION</v>
          </cell>
          <cell r="H120" t="str">
            <v/>
          </cell>
          <cell r="I120" t="str">
            <v/>
          </cell>
          <cell r="J120" t="str">
            <v>TUBES</v>
          </cell>
          <cell r="K120" t="str">
            <v>TUBES</v>
          </cell>
          <cell r="L120" t="str">
            <v/>
          </cell>
        </row>
        <row r="121">
          <cell r="A121" t="str">
            <v>DJI202600161</v>
          </cell>
          <cell r="B121" t="str">
            <v>BW26089LDJD072/073</v>
          </cell>
          <cell r="C121" t="str">
            <v>46</v>
          </cell>
          <cell r="D121" t="str">
            <v>CASING</v>
          </cell>
          <cell r="E121">
            <v>2040</v>
          </cell>
          <cell r="F121">
            <v>3045426</v>
          </cell>
          <cell r="G121" t="str">
            <v>SONATRACH DIVISION PRODUCTION</v>
          </cell>
          <cell r="H121" t="str">
            <v/>
          </cell>
          <cell r="I121" t="str">
            <v/>
          </cell>
          <cell r="J121" t="str">
            <v>TUBES</v>
          </cell>
          <cell r="K121" t="str">
            <v>TUBES</v>
          </cell>
          <cell r="L121" t="str">
            <v/>
          </cell>
        </row>
        <row r="122">
          <cell r="A122" t="str">
            <v>DJI202600161</v>
          </cell>
          <cell r="B122" t="str">
            <v>BW26089LDJD074</v>
          </cell>
          <cell r="C122" t="str">
            <v>47</v>
          </cell>
          <cell r="D122" t="str">
            <v>1 UNIT  SHACMAN F2000 6X4 DUMP TRUCK ( VOIR BL)</v>
          </cell>
          <cell r="E122">
            <v>1</v>
          </cell>
          <cell r="F122">
            <v>12330</v>
          </cell>
          <cell r="G122" t="str">
            <v>LARAB SALAH EDDINE</v>
          </cell>
          <cell r="H122" t="str">
            <v>LZGJLJM48TX041074</v>
          </cell>
          <cell r="I122" t="str">
            <v>F2000</v>
          </cell>
          <cell r="J122" t="str">
            <v>ENGINS</v>
          </cell>
          <cell r="K122" t="str">
            <v>ENGINS</v>
          </cell>
          <cell r="L122" t="str">
            <v/>
          </cell>
        </row>
        <row r="123">
          <cell r="A123" t="str">
            <v>DJI202600161</v>
          </cell>
          <cell r="B123" t="str">
            <v>BW26089LDJD075</v>
          </cell>
          <cell r="C123" t="str">
            <v>48</v>
          </cell>
          <cell r="D123" t="str">
            <v>1 UNIT XCMG TYPE ROLLER XP263 MIN ( VOIR BL)</v>
          </cell>
          <cell r="E123">
            <v>1</v>
          </cell>
          <cell r="F123">
            <v>26000</v>
          </cell>
          <cell r="G123" t="str">
            <v>HOUSING BANK FOR TRADE AND FINANCE ALGERIA LOCATAI</v>
          </cell>
          <cell r="H123" t="str">
            <v>XUG02634TTJE01655</v>
          </cell>
          <cell r="I123" t="str">
            <v>XP263</v>
          </cell>
          <cell r="J123" t="str">
            <v>ENGINS</v>
          </cell>
          <cell r="K123" t="str">
            <v>ENGINS</v>
          </cell>
          <cell r="L123" t="str">
            <v/>
          </cell>
        </row>
        <row r="124">
          <cell r="A124" t="str">
            <v>DJI202600161</v>
          </cell>
          <cell r="B124" t="str">
            <v>BW26089LDJD076</v>
          </cell>
          <cell r="C124" t="str">
            <v>49</v>
          </cell>
          <cell r="D124" t="str">
            <v>1 UNIT  XCMG XS143J ROAD ROLLER ( VOIR BL)</v>
          </cell>
          <cell r="E124">
            <v>1</v>
          </cell>
          <cell r="F124">
            <v>14000</v>
          </cell>
          <cell r="G124" t="str">
            <v>HOUSING BANK FOR TRADE AND FINANCE ALGERIA LOCATAI</v>
          </cell>
          <cell r="H124" t="str">
            <v>XUG01433CTJE01605</v>
          </cell>
          <cell r="I124" t="str">
            <v>XS143J</v>
          </cell>
          <cell r="J124" t="str">
            <v>ENGINS</v>
          </cell>
          <cell r="K124" t="str">
            <v>ENGINS</v>
          </cell>
          <cell r="L124" t="str">
            <v/>
          </cell>
        </row>
        <row r="125">
          <cell r="A125" t="str">
            <v>DJI202600161</v>
          </cell>
          <cell r="B125" t="str">
            <v>BW26089LDJD077</v>
          </cell>
          <cell r="C125" t="str">
            <v>50</v>
          </cell>
          <cell r="D125" t="str">
            <v>2 UNITS  HYUNDAI 34T EXCAVATOR HX340HD ( VOIR BL)</v>
          </cell>
          <cell r="E125">
            <v>4</v>
          </cell>
          <cell r="F125">
            <v>68150</v>
          </cell>
          <cell r="G125" t="str">
            <v>EL DJAZAIR IDJAR S.P.A POUR LE</v>
          </cell>
          <cell r="H125" t="str">
            <v>HDCKECADTT0000551</v>
          </cell>
          <cell r="I125" t="str">
            <v>HX340HD</v>
          </cell>
          <cell r="J125" t="str">
            <v>ENGINS</v>
          </cell>
          <cell r="K125" t="str">
            <v>ENGINS</v>
          </cell>
          <cell r="L125" t="str">
            <v/>
          </cell>
        </row>
        <row r="126">
          <cell r="A126" t="str">
            <v>DJI202600161</v>
          </cell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>
            <v>34075</v>
          </cell>
          <cell r="G126" t="str">
            <v/>
          </cell>
          <cell r="H126" t="str">
            <v>HDCKECADTT0040721</v>
          </cell>
          <cell r="I126" t="str">
            <v>HX340HD</v>
          </cell>
          <cell r="J126" t="str">
            <v>ENGINS</v>
          </cell>
          <cell r="K126" t="str">
            <v>ENGINS</v>
          </cell>
          <cell r="L126" t="str">
            <v/>
          </cell>
        </row>
        <row r="127">
          <cell r="A127" t="str">
            <v>DJI202600161</v>
          </cell>
          <cell r="B127" t="str">
            <v>BW26089LDJD078</v>
          </cell>
          <cell r="C127" t="str">
            <v>51</v>
          </cell>
          <cell r="D127" t="str">
            <v>1 UNIT DUMP TRUCK ZZ3317V326GB1 1 UNIT SINOTRUCK HOWO TX 8X4 TIPPER TRUCK LHD 22 CBM ( VOIR BL)</v>
          </cell>
          <cell r="E127">
            <v>1</v>
          </cell>
          <cell r="F127">
            <v>17000</v>
          </cell>
          <cell r="G127" t="str">
            <v>SOUAADI SALAH</v>
          </cell>
          <cell r="H127" t="str">
            <v>LZZ5EXVB9TA505916</v>
          </cell>
          <cell r="I127" t="str">
            <v>ZZ3317V326GB1</v>
          </cell>
          <cell r="J127" t="str">
            <v>ENGINS</v>
          </cell>
          <cell r="K127" t="str">
            <v>ENGINS</v>
          </cell>
          <cell r="L127" t="str">
            <v/>
          </cell>
        </row>
        <row r="128">
          <cell r="A128" t="str">
            <v>DJI202600161</v>
          </cell>
          <cell r="B128" t="str">
            <v>BW26089LDJD079</v>
          </cell>
          <cell r="C128" t="str">
            <v>52</v>
          </cell>
          <cell r="D128" t="str">
            <v>4 UNITS HOWO TX 10M3 CONCRETE MIXER TRUCK  (VOIR BL)</v>
          </cell>
          <cell r="E128">
            <v>4</v>
          </cell>
          <cell r="F128">
            <v>53600</v>
          </cell>
          <cell r="G128" t="str">
            <v>EURL CHARADI MOHAMED</v>
          </cell>
          <cell r="H128" t="str">
            <v>LZZ5BLSD9TD558542</v>
          </cell>
          <cell r="I128" t="str">
            <v>ZZ1257V384GB1</v>
          </cell>
          <cell r="J128" t="str">
            <v>ENGINS</v>
          </cell>
          <cell r="K128" t="str">
            <v>ENGINS</v>
          </cell>
          <cell r="L128" t="str">
            <v/>
          </cell>
        </row>
        <row r="129">
          <cell r="A129" t="str">
            <v>DJI202600161</v>
          </cell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>
            <v>13400</v>
          </cell>
          <cell r="G129" t="str">
            <v/>
          </cell>
          <cell r="H129" t="str">
            <v>LZZ5BLSD4TD558545</v>
          </cell>
          <cell r="I129" t="str">
            <v>ZZ1257V384GB1</v>
          </cell>
          <cell r="J129" t="str">
            <v>ENGINS</v>
          </cell>
          <cell r="K129" t="str">
            <v>ENGINS</v>
          </cell>
          <cell r="L129" t="str">
            <v/>
          </cell>
        </row>
        <row r="130">
          <cell r="A130" t="str">
            <v>DJI202600161</v>
          </cell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>
            <v>13400</v>
          </cell>
          <cell r="G130" t="str">
            <v/>
          </cell>
          <cell r="H130" t="str">
            <v>LZZ5BLSD2TD558544</v>
          </cell>
          <cell r="I130" t="str">
            <v>ZZ1257V384GB1</v>
          </cell>
          <cell r="J130" t="str">
            <v>ENGINS</v>
          </cell>
          <cell r="K130" t="str">
            <v>ENGINS</v>
          </cell>
          <cell r="L130" t="str">
            <v/>
          </cell>
        </row>
        <row r="131">
          <cell r="A131" t="str">
            <v>DJI202600161</v>
          </cell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>
            <v>13400</v>
          </cell>
          <cell r="G131" t="str">
            <v/>
          </cell>
          <cell r="H131" t="str">
            <v>LZZ5BLSD0TD558543</v>
          </cell>
          <cell r="I131" t="str">
            <v>ZZ1257V384GB1</v>
          </cell>
          <cell r="J131" t="str">
            <v>ENGINS</v>
          </cell>
          <cell r="K131" t="str">
            <v>ENGINS</v>
          </cell>
          <cell r="L131" t="str">
            <v/>
          </cell>
        </row>
        <row r="132">
          <cell r="A132" t="str">
            <v>DJI202600161</v>
          </cell>
          <cell r="B132" t="str">
            <v>BW26089LDJD080</v>
          </cell>
          <cell r="C132" t="str">
            <v>53</v>
          </cell>
          <cell r="D132" t="str">
            <v>1 UNIT HYUNDAI 22 TON CRAWLER EXCAVATOR HX220HD WITH PIPES ( VOIR BL)</v>
          </cell>
          <cell r="E132">
            <v>1</v>
          </cell>
          <cell r="F132">
            <v>21700</v>
          </cell>
          <cell r="G132" t="str">
            <v>SARL STATION LES FRERES BELHADJ</v>
          </cell>
          <cell r="H132" t="str">
            <v>HDCKEBAEJT0000171</v>
          </cell>
          <cell r="I132" t="str">
            <v>HX220HD</v>
          </cell>
          <cell r="J132" t="str">
            <v>ENGINS</v>
          </cell>
          <cell r="K132" t="str">
            <v>ENGINS</v>
          </cell>
          <cell r="L132" t="str">
            <v/>
          </cell>
        </row>
        <row r="133">
          <cell r="A133" t="str">
            <v>DJI202600161</v>
          </cell>
          <cell r="B133" t="str">
            <v>BW26089LDJD081</v>
          </cell>
          <cell r="C133" t="str">
            <v>54</v>
          </cell>
          <cell r="D133" t="str">
            <v>1 UNIT SUNWARD SWDH102S DRILLING RIG WITH 4000 H SPARE PARTS ( VOIR BL)</v>
          </cell>
          <cell r="E133">
            <v>11</v>
          </cell>
          <cell r="F133">
            <v>18170</v>
          </cell>
          <cell r="G133" t="str">
            <v>SARL MITIDJA AGREGATS</v>
          </cell>
          <cell r="H133" t="str">
            <v>SWDH102SS00190</v>
          </cell>
          <cell r="I133" t="str">
            <v>SWDH102S</v>
          </cell>
          <cell r="J133" t="str">
            <v>ENGINS</v>
          </cell>
          <cell r="K133" t="str">
            <v>ENGINS</v>
          </cell>
          <cell r="L133" t="str">
            <v/>
          </cell>
        </row>
        <row r="134">
          <cell r="A134" t="str">
            <v>DJI202600161</v>
          </cell>
          <cell r="B134" t="str">
            <v>BW26089LDJD082</v>
          </cell>
          <cell r="C134" t="str">
            <v>55</v>
          </cell>
          <cell r="D134" t="str">
            <v>1 UNIT HYUNDAI EXCAVATOR HX220HD ( VOIR BL)</v>
          </cell>
          <cell r="E134">
            <v>3</v>
          </cell>
          <cell r="F134">
            <v>25490</v>
          </cell>
          <cell r="G134" t="str">
            <v>FRANSABANK LOCATAIRE SARL ABDELRAFIK TRAVAUX</v>
          </cell>
          <cell r="H134" t="str">
            <v>HDCKEBAFET0000319</v>
          </cell>
          <cell r="I134" t="str">
            <v>HX220HD</v>
          </cell>
          <cell r="J134" t="str">
            <v>ENGINS</v>
          </cell>
          <cell r="K134" t="str">
            <v>ENGINS</v>
          </cell>
          <cell r="L134" t="str">
            <v/>
          </cell>
        </row>
        <row r="135">
          <cell r="A135" t="str">
            <v>DJI202600161</v>
          </cell>
          <cell r="B135" t="str">
            <v>BW26089LDJD083</v>
          </cell>
          <cell r="C135" t="str">
            <v>56</v>
          </cell>
          <cell r="D135" t="str">
            <v>2  UNITS HYUNDAI HX340HD HEAVY DUTY EXCAVATOR TIER 2 ( VOIR BL)</v>
          </cell>
          <cell r="E135">
            <v>4</v>
          </cell>
          <cell r="F135">
            <v>68000</v>
          </cell>
          <cell r="G135" t="str">
            <v>ZAHOUANI ABDELKADER</v>
          </cell>
          <cell r="H135" t="str">
            <v>HDCKECADJT0000490</v>
          </cell>
          <cell r="I135" t="str">
            <v>HX340HD</v>
          </cell>
          <cell r="J135" t="str">
            <v>ENGINS</v>
          </cell>
          <cell r="K135" t="str">
            <v>ENGINS</v>
          </cell>
          <cell r="L135" t="str">
            <v/>
          </cell>
        </row>
        <row r="136">
          <cell r="A136" t="str">
            <v>DJI202600161</v>
          </cell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>
            <v>34000</v>
          </cell>
          <cell r="G136" t="str">
            <v/>
          </cell>
          <cell r="H136" t="str">
            <v>HDCKECADCT0000491</v>
          </cell>
          <cell r="I136" t="str">
            <v>HX340HD</v>
          </cell>
          <cell r="J136" t="str">
            <v>ENGINS</v>
          </cell>
          <cell r="K136" t="str">
            <v>ENGINS</v>
          </cell>
          <cell r="L136" t="str">
            <v/>
          </cell>
        </row>
        <row r="137">
          <cell r="A137" t="str">
            <v>DJI202600161</v>
          </cell>
          <cell r="B137" t="str">
            <v>BW26089LDJD084</v>
          </cell>
          <cell r="C137" t="str">
            <v>57</v>
          </cell>
          <cell r="D137" t="str">
            <v>1 UNIT CIMC 2AXIE 20CBM U BODY TIPPER SEMI TRALLER (VOIR BL)</v>
          </cell>
          <cell r="E137">
            <v>1</v>
          </cell>
          <cell r="F137">
            <v>10210</v>
          </cell>
          <cell r="G137" t="str">
            <v>EURL TALISS CONSTRUCTION</v>
          </cell>
          <cell r="H137" t="str">
            <v>LZ1B63GD4T0006196</v>
          </cell>
          <cell r="I137" t="str">
            <v>CIMC</v>
          </cell>
          <cell r="J137" t="str">
            <v>ENGINS</v>
          </cell>
          <cell r="K137" t="str">
            <v>ENGINS</v>
          </cell>
          <cell r="L137" t="str">
            <v/>
          </cell>
        </row>
        <row r="138">
          <cell r="A138" t="str">
            <v>DJI202600161</v>
          </cell>
          <cell r="B138" t="str">
            <v>BW26089LDJD085</v>
          </cell>
          <cell r="C138" t="str">
            <v>58</v>
          </cell>
          <cell r="D138" t="str">
            <v>1 UNIT XCMG 2TON CRAWLER EXCAVATOR XE20E (VOIR BL)</v>
          </cell>
          <cell r="E138">
            <v>1</v>
          </cell>
          <cell r="F138">
            <v>2050</v>
          </cell>
          <cell r="G138" t="str">
            <v>EURL TALISS CONSTRUCTION</v>
          </cell>
          <cell r="H138" t="str">
            <v>XUGA0205VTKA00453</v>
          </cell>
          <cell r="I138" t="str">
            <v>AUTRES</v>
          </cell>
          <cell r="J138" t="str">
            <v>ENGINS</v>
          </cell>
          <cell r="K138" t="str">
            <v>ENGINS</v>
          </cell>
          <cell r="L138" t="str">
            <v/>
          </cell>
        </row>
        <row r="139">
          <cell r="A139" t="str">
            <v>DJI202600161</v>
          </cell>
          <cell r="B139" t="str">
            <v>BW26089LDJD086</v>
          </cell>
          <cell r="C139" t="str">
            <v>59</v>
          </cell>
          <cell r="D139" t="str">
            <v>1 UNIT 80KVA GENERATOR SETTRALLER  (VOIR BL)</v>
          </cell>
          <cell r="E139">
            <v>1</v>
          </cell>
          <cell r="F139">
            <v>1700</v>
          </cell>
          <cell r="G139" t="str">
            <v>EURL TALISS CONSTRUCTION</v>
          </cell>
          <cell r="H139" t="str">
            <v/>
          </cell>
          <cell r="I139" t="str">
            <v/>
          </cell>
          <cell r="J139" t="str">
            <v>ENGINS</v>
          </cell>
          <cell r="K139" t="str">
            <v>ENGINS</v>
          </cell>
          <cell r="L139" t="str">
            <v/>
          </cell>
        </row>
        <row r="140">
          <cell r="A140" t="str">
            <v>DJI202600161</v>
          </cell>
          <cell r="B140" t="str">
            <v>BW26089LDJD087</v>
          </cell>
          <cell r="C140" t="str">
            <v>60</v>
          </cell>
          <cell r="D140" t="str">
            <v>1 UNIT HYUNDAI EXCAVATOR HX220HD ( VOIR BL)</v>
          </cell>
          <cell r="E140">
            <v>1</v>
          </cell>
          <cell r="F140">
            <v>22000</v>
          </cell>
          <cell r="G140" t="str">
            <v>EURL EL RABIHINE CONSTRUCTION</v>
          </cell>
          <cell r="H140" t="str">
            <v>HDCKEBAEVT0000166</v>
          </cell>
          <cell r="I140" t="str">
            <v>HX220HD</v>
          </cell>
          <cell r="J140" t="str">
            <v>ENGINS</v>
          </cell>
          <cell r="K140" t="str">
            <v>ENGINS</v>
          </cell>
          <cell r="L140" t="str">
            <v/>
          </cell>
        </row>
        <row r="141">
          <cell r="A141" t="str">
            <v>DJI202600161</v>
          </cell>
          <cell r="B141" t="str">
            <v>BW26089LDJD088</v>
          </cell>
          <cell r="C141" t="str">
            <v>61</v>
          </cell>
          <cell r="D141" t="str">
            <v>1 UNIT HYUNDAI 22T CRAWLER EXCAVATOR HX220HD (VOIR BL)</v>
          </cell>
          <cell r="E141">
            <v>2</v>
          </cell>
          <cell r="F141">
            <v>22360</v>
          </cell>
          <cell r="G141" t="str">
            <v>EURL MOHAMMED ENNACER IMPORT</v>
          </cell>
          <cell r="H141" t="str">
            <v>HDCKEBAEVT0040860</v>
          </cell>
          <cell r="I141" t="str">
            <v>HX220HD</v>
          </cell>
          <cell r="J141" t="str">
            <v>ENGINS</v>
          </cell>
          <cell r="K141" t="str">
            <v>ENGINS</v>
          </cell>
          <cell r="L141" t="str">
            <v/>
          </cell>
        </row>
        <row r="142">
          <cell r="A142" t="str">
            <v>DJI202600161</v>
          </cell>
          <cell r="B142" t="str">
            <v>BW26089LDJD089</v>
          </cell>
          <cell r="C142" t="str">
            <v>62</v>
          </cell>
          <cell r="D142" t="str">
            <v>1 UNIT SHACMAN EUROII F2000 DUMP TRUCK (' VOIR BL)</v>
          </cell>
          <cell r="E142">
            <v>1</v>
          </cell>
          <cell r="F142">
            <v>12330</v>
          </cell>
          <cell r="G142" t="str">
            <v>SARL AL MASHAREQ ENGINEERING</v>
          </cell>
          <cell r="H142" t="str">
            <v>LZGJLJM46TX048394</v>
          </cell>
          <cell r="I142" t="str">
            <v>F2000</v>
          </cell>
          <cell r="J142" t="str">
            <v>ENGINS</v>
          </cell>
          <cell r="K142" t="str">
            <v>ENGINS</v>
          </cell>
          <cell r="L142" t="str">
            <v/>
          </cell>
        </row>
        <row r="143">
          <cell r="A143" t="str">
            <v>DJI202600161</v>
          </cell>
          <cell r="B143" t="str">
            <v>BW26089LDJD090A</v>
          </cell>
          <cell r="C143" t="str">
            <v>63</v>
          </cell>
          <cell r="D143" t="str">
            <v>1 UNIT SHACMAN EUROII F2000 DUMP TRUCK (' VOIR BL)</v>
          </cell>
          <cell r="E143">
            <v>1</v>
          </cell>
          <cell r="F143">
            <v>12330</v>
          </cell>
          <cell r="G143" t="str">
            <v>HOUAMED ABDELFATTAH</v>
          </cell>
          <cell r="H143" t="str">
            <v>LZGJLJM44TX048393</v>
          </cell>
          <cell r="I143" t="str">
            <v>F2000</v>
          </cell>
          <cell r="J143" t="str">
            <v>ENGINS</v>
          </cell>
          <cell r="K143" t="str">
            <v>ENGINS</v>
          </cell>
          <cell r="L143" t="str">
            <v/>
          </cell>
        </row>
        <row r="144">
          <cell r="A144" t="str">
            <v>DJI202600161</v>
          </cell>
          <cell r="B144" t="str">
            <v>BW26089LDJD090B</v>
          </cell>
          <cell r="C144" t="str">
            <v>64</v>
          </cell>
          <cell r="D144" t="str">
            <v>1 UNIT HYUNDAI HAMMER BREAKER HDBB-165Z ( VOIR BL)</v>
          </cell>
          <cell r="E144">
            <v>1</v>
          </cell>
          <cell r="F144">
            <v>3300</v>
          </cell>
          <cell r="G144" t="str">
            <v>HOUAMED ABDELFATTAH</v>
          </cell>
          <cell r="H144" t="str">
            <v/>
          </cell>
          <cell r="I144" t="str">
            <v/>
          </cell>
          <cell r="J144" t="str">
            <v>ENGINS</v>
          </cell>
          <cell r="K144" t="str">
            <v>ENGINS</v>
          </cell>
          <cell r="L144" t="str">
            <v/>
          </cell>
        </row>
        <row r="145">
          <cell r="A145" t="str">
            <v>DJI202600161</v>
          </cell>
          <cell r="B145" t="str">
            <v>BW26089LDJD091</v>
          </cell>
          <cell r="C145" t="str">
            <v>65</v>
          </cell>
          <cell r="D145" t="str">
            <v>1 UNIT XCMG WHEEL LOADER ZL50GN WITH A FORK AND A TYRE ( VOIR BL)</v>
          </cell>
          <cell r="E145">
            <v>3</v>
          </cell>
          <cell r="F145">
            <v>18980</v>
          </cell>
          <cell r="G145" t="str">
            <v>SARL AL MASHAREQ ENGINEERING</v>
          </cell>
          <cell r="H145" t="str">
            <v>XUG0050GTTCB15372</v>
          </cell>
          <cell r="I145" t="str">
            <v>ZL50GN</v>
          </cell>
          <cell r="J145" t="str">
            <v>ENGINS</v>
          </cell>
          <cell r="K145" t="str">
            <v>ENGINS</v>
          </cell>
          <cell r="L145" t="str">
            <v/>
          </cell>
        </row>
        <row r="146">
          <cell r="A146" t="str">
            <v>DJI202600161</v>
          </cell>
          <cell r="B146" t="str">
            <v>BW26089LDJD092</v>
          </cell>
          <cell r="C146" t="str">
            <v>66</v>
          </cell>
          <cell r="D146" t="str">
            <v>1 UNIT XCMG GR180 GRADER ( VOIR BL)</v>
          </cell>
          <cell r="E146">
            <v>1</v>
          </cell>
          <cell r="F146">
            <v>15400</v>
          </cell>
          <cell r="G146" t="str">
            <v>SARL SITRACO</v>
          </cell>
          <cell r="H146" t="str">
            <v>XUGE00DBTTDB00347</v>
          </cell>
          <cell r="I146" t="str">
            <v>GR180</v>
          </cell>
          <cell r="J146" t="str">
            <v>ENGINS</v>
          </cell>
          <cell r="K146" t="str">
            <v>ENGINS</v>
          </cell>
          <cell r="L146" t="str">
            <v/>
          </cell>
        </row>
        <row r="147">
          <cell r="A147" t="str">
            <v>DJI202600161</v>
          </cell>
          <cell r="B147" t="str">
            <v>BW26089LDJD093</v>
          </cell>
          <cell r="C147" t="str">
            <v>67</v>
          </cell>
          <cell r="D147" t="str">
            <v>1 UNIT ROAD ROLLER XS143 ( VOIR BL)</v>
          </cell>
          <cell r="E147">
            <v>1</v>
          </cell>
          <cell r="F147">
            <v>14000</v>
          </cell>
          <cell r="G147" t="str">
            <v>SIDANE IMAD</v>
          </cell>
          <cell r="H147" t="str">
            <v>XUG01431VTJE02398</v>
          </cell>
          <cell r="I147" t="str">
            <v>AUTRES</v>
          </cell>
          <cell r="J147" t="str">
            <v>ENGINS</v>
          </cell>
          <cell r="K147" t="str">
            <v>ENGINS</v>
          </cell>
          <cell r="L147" t="str">
            <v/>
          </cell>
        </row>
        <row r="148">
          <cell r="A148" t="str">
            <v>DJI202600161</v>
          </cell>
          <cell r="B148" t="str">
            <v>BW26089LDJD094</v>
          </cell>
          <cell r="C148" t="str">
            <v>68</v>
          </cell>
          <cell r="D148" t="str">
            <v>1 UNIT CIMC SEMI-TRAILER ( VOIR BL)</v>
          </cell>
          <cell r="E148">
            <v>1</v>
          </cell>
          <cell r="F148">
            <v>18310</v>
          </cell>
          <cell r="G148" t="str">
            <v>SARL EL BARAKA SUD</v>
          </cell>
          <cell r="H148" t="str">
            <v>LZ1B23GE2T0006699</v>
          </cell>
          <cell r="I148" t="str">
            <v>CIMC</v>
          </cell>
          <cell r="J148" t="str">
            <v>ENGINS</v>
          </cell>
          <cell r="K148" t="str">
            <v>ENGINS</v>
          </cell>
          <cell r="L148" t="str">
            <v/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Coeff"/>
      <sheetName val="Dashboard"/>
      <sheetName val="Feuil1"/>
    </sheetNames>
    <definedNames>
      <definedName name="CalculateSurf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tabColor theme="9" tint="-0.249977111117893"/>
  </sheetPr>
  <dimension ref="A1:R148"/>
  <sheetViews>
    <sheetView zoomScale="85" zoomScaleNormal="85" workbookViewId="0">
      <pane ySplit="1" topLeftCell="A71" activePane="bottomLeft" state="frozen"/>
      <selection pane="bottomLeft" activeCell="F1" sqref="F1"/>
    </sheetView>
  </sheetViews>
  <sheetFormatPr baseColWidth="10" defaultRowHeight="15.75" x14ac:dyDescent="0.25"/>
  <cols>
    <col min="1" max="1" width="23.42578125" style="24" customWidth="1"/>
    <col min="2" max="2" width="23.42578125" style="25" customWidth="1"/>
    <col min="3" max="4" width="23.42578125" style="24" customWidth="1"/>
    <col min="5" max="5" width="38.7109375" style="26" customWidth="1"/>
    <col min="6" max="7" width="14" style="25" customWidth="1"/>
    <col min="8" max="8" width="16.85546875" style="24" customWidth="1"/>
    <col min="9" max="9" width="16.5703125" style="24" customWidth="1"/>
    <col min="10" max="10" width="23.42578125" style="25" customWidth="1"/>
    <col min="11" max="12" width="23.42578125" style="24" customWidth="1"/>
    <col min="13" max="13" width="17.85546875" style="24" customWidth="1"/>
    <col min="14" max="15" width="11.42578125" style="24"/>
  </cols>
  <sheetData>
    <row r="1" spans="1:18" s="23" customFormat="1" ht="34.5" customHeight="1" x14ac:dyDescent="0.2">
      <c r="A1" s="22" t="s">
        <v>0</v>
      </c>
      <c r="B1" s="22" t="s">
        <v>1</v>
      </c>
      <c r="D1" s="22" t="s">
        <v>2</v>
      </c>
      <c r="E1" s="22" t="s">
        <v>5</v>
      </c>
      <c r="F1" s="22" t="s">
        <v>190</v>
      </c>
      <c r="G1" s="22" t="s">
        <v>4</v>
      </c>
      <c r="H1" s="22" t="s">
        <v>9</v>
      </c>
      <c r="I1" s="22" t="s">
        <v>8</v>
      </c>
      <c r="J1" s="22" t="s">
        <v>10</v>
      </c>
      <c r="K1" s="22" t="s">
        <v>6</v>
      </c>
      <c r="L1" s="22" t="s">
        <v>7</v>
      </c>
      <c r="N1" s="22"/>
      <c r="O1" s="22"/>
      <c r="P1" s="22"/>
      <c r="Q1" s="22"/>
      <c r="R1" s="22"/>
    </row>
    <row r="2" spans="1:18" x14ac:dyDescent="0.25">
      <c r="A2" s="24" t="s">
        <v>191</v>
      </c>
      <c r="B2" s="25">
        <v>1</v>
      </c>
      <c r="C2" s="24" t="s">
        <v>192</v>
      </c>
      <c r="D2" s="24" t="s">
        <v>193</v>
      </c>
      <c r="E2" s="26" t="s">
        <v>194</v>
      </c>
      <c r="F2" s="25">
        <v>1</v>
      </c>
      <c r="G2" s="25">
        <v>7.42</v>
      </c>
      <c r="H2" s="24" t="s">
        <v>33</v>
      </c>
      <c r="I2" s="24" t="s">
        <v>39</v>
      </c>
      <c r="J2" s="25">
        <v>24</v>
      </c>
    </row>
    <row r="3" spans="1:18" x14ac:dyDescent="0.25">
      <c r="A3" s="24" t="s">
        <v>195</v>
      </c>
      <c r="B3" s="25">
        <v>2</v>
      </c>
      <c r="C3" s="24" t="s">
        <v>192</v>
      </c>
      <c r="D3" s="24" t="s">
        <v>196</v>
      </c>
      <c r="E3" s="26" t="s">
        <v>197</v>
      </c>
      <c r="F3" s="25">
        <v>1</v>
      </c>
      <c r="G3" s="25">
        <v>9.1199999999999992</v>
      </c>
      <c r="H3" s="24" t="s">
        <v>33</v>
      </c>
      <c r="I3" s="24" t="s">
        <v>39</v>
      </c>
      <c r="J3" s="25">
        <v>24</v>
      </c>
    </row>
    <row r="4" spans="1:18" x14ac:dyDescent="0.25">
      <c r="A4" s="24" t="s">
        <v>198</v>
      </c>
      <c r="B4" s="25">
        <v>3</v>
      </c>
      <c r="C4" s="24" t="s">
        <v>192</v>
      </c>
      <c r="D4" s="24" t="s">
        <v>199</v>
      </c>
      <c r="E4" s="26" t="s">
        <v>200</v>
      </c>
      <c r="F4" s="25">
        <v>1</v>
      </c>
      <c r="G4" s="25">
        <v>8.6</v>
      </c>
      <c r="H4" s="24" t="s">
        <v>33</v>
      </c>
      <c r="I4" s="24" t="s">
        <v>39</v>
      </c>
      <c r="J4" s="25">
        <v>24</v>
      </c>
    </row>
    <row r="5" spans="1:18" x14ac:dyDescent="0.25">
      <c r="A5" s="24" t="s">
        <v>201</v>
      </c>
      <c r="B5" s="25">
        <v>4</v>
      </c>
      <c r="C5" s="24" t="s">
        <v>192</v>
      </c>
      <c r="D5" s="24" t="s">
        <v>202</v>
      </c>
      <c r="E5" s="26" t="s">
        <v>203</v>
      </c>
      <c r="F5" s="25">
        <v>2</v>
      </c>
      <c r="G5" s="25">
        <v>27.25</v>
      </c>
      <c r="H5" s="24" t="s">
        <v>33</v>
      </c>
      <c r="I5" s="24" t="s">
        <v>39</v>
      </c>
      <c r="J5" s="25">
        <v>48</v>
      </c>
    </row>
    <row r="6" spans="1:18" x14ac:dyDescent="0.25">
      <c r="A6" s="24" t="s">
        <v>204</v>
      </c>
      <c r="B6" s="25">
        <v>5</v>
      </c>
      <c r="C6" s="24" t="s">
        <v>192</v>
      </c>
      <c r="D6" s="24" t="s">
        <v>205</v>
      </c>
      <c r="E6" s="26" t="s">
        <v>206</v>
      </c>
      <c r="F6" s="25">
        <v>1</v>
      </c>
      <c r="G6" s="25">
        <v>4.2</v>
      </c>
      <c r="H6" s="24" t="s">
        <v>41</v>
      </c>
      <c r="I6" s="24" t="s">
        <v>42</v>
      </c>
      <c r="J6" s="25">
        <v>24</v>
      </c>
    </row>
    <row r="7" spans="1:18" x14ac:dyDescent="0.25">
      <c r="A7" s="24" t="s">
        <v>207</v>
      </c>
      <c r="B7" s="25">
        <v>6</v>
      </c>
      <c r="C7" s="24" t="s">
        <v>192</v>
      </c>
      <c r="D7" s="24" t="s">
        <v>208</v>
      </c>
      <c r="E7" s="26" t="s">
        <v>209</v>
      </c>
      <c r="F7" s="25">
        <v>2</v>
      </c>
      <c r="G7" s="25">
        <v>34</v>
      </c>
      <c r="H7" s="24" t="s">
        <v>41</v>
      </c>
      <c r="I7" s="24" t="s">
        <v>42</v>
      </c>
      <c r="J7" s="25">
        <v>48</v>
      </c>
    </row>
    <row r="8" spans="1:18" x14ac:dyDescent="0.25">
      <c r="A8" s="24" t="s">
        <v>210</v>
      </c>
      <c r="B8" s="25">
        <v>7</v>
      </c>
      <c r="C8" s="24" t="s">
        <v>192</v>
      </c>
      <c r="D8" s="24" t="s">
        <v>208</v>
      </c>
      <c r="E8" s="26" t="s">
        <v>211</v>
      </c>
      <c r="F8" s="25">
        <v>2</v>
      </c>
      <c r="G8" s="25">
        <v>34</v>
      </c>
      <c r="H8" s="24" t="s">
        <v>41</v>
      </c>
      <c r="I8" s="24" t="s">
        <v>42</v>
      </c>
      <c r="J8" s="25">
        <v>48</v>
      </c>
    </row>
    <row r="9" spans="1:18" x14ac:dyDescent="0.25">
      <c r="A9" s="24" t="s">
        <v>212</v>
      </c>
      <c r="B9" s="25">
        <v>8</v>
      </c>
      <c r="C9" s="24" t="s">
        <v>192</v>
      </c>
      <c r="D9" s="24" t="s">
        <v>213</v>
      </c>
      <c r="E9" s="26" t="s">
        <v>214</v>
      </c>
      <c r="F9" s="25">
        <v>1</v>
      </c>
      <c r="G9" s="25">
        <v>15</v>
      </c>
      <c r="H9" s="24" t="s">
        <v>33</v>
      </c>
      <c r="I9" s="24" t="s">
        <v>34</v>
      </c>
      <c r="J9" s="25">
        <v>24</v>
      </c>
    </row>
    <row r="10" spans="1:18" x14ac:dyDescent="0.25">
      <c r="A10" s="24" t="s">
        <v>215</v>
      </c>
      <c r="B10" s="25">
        <v>9</v>
      </c>
      <c r="C10" s="24" t="s">
        <v>192</v>
      </c>
      <c r="D10" s="24" t="s">
        <v>139</v>
      </c>
      <c r="E10" s="26" t="s">
        <v>216</v>
      </c>
      <c r="F10" s="25">
        <v>1</v>
      </c>
      <c r="G10" s="25">
        <v>12.67</v>
      </c>
      <c r="H10" s="24" t="s">
        <v>33</v>
      </c>
      <c r="I10" s="24" t="s">
        <v>34</v>
      </c>
      <c r="J10" s="25">
        <v>24</v>
      </c>
    </row>
    <row r="11" spans="1:18" x14ac:dyDescent="0.25">
      <c r="A11" s="24" t="s">
        <v>217</v>
      </c>
      <c r="B11" s="25">
        <v>10</v>
      </c>
      <c r="C11" s="24" t="s">
        <v>192</v>
      </c>
      <c r="D11" s="24" t="s">
        <v>218</v>
      </c>
      <c r="E11" s="26" t="s">
        <v>219</v>
      </c>
      <c r="F11" s="25">
        <v>1</v>
      </c>
      <c r="G11" s="25">
        <v>12.67</v>
      </c>
      <c r="H11" s="24" t="s">
        <v>33</v>
      </c>
      <c r="I11" s="24" t="s">
        <v>34</v>
      </c>
      <c r="J11" s="25">
        <v>24</v>
      </c>
    </row>
    <row r="12" spans="1:18" x14ac:dyDescent="0.25">
      <c r="A12" s="24" t="s">
        <v>220</v>
      </c>
      <c r="B12" s="25">
        <v>11</v>
      </c>
      <c r="C12" s="24" t="s">
        <v>192</v>
      </c>
      <c r="D12" s="24" t="s">
        <v>139</v>
      </c>
      <c r="E12" s="26" t="s">
        <v>221</v>
      </c>
      <c r="F12" s="25">
        <v>1</v>
      </c>
      <c r="G12" s="25">
        <v>12.67</v>
      </c>
      <c r="H12" s="24" t="s">
        <v>33</v>
      </c>
      <c r="I12" s="24" t="s">
        <v>34</v>
      </c>
      <c r="J12" s="25">
        <v>24</v>
      </c>
    </row>
    <row r="13" spans="1:18" x14ac:dyDescent="0.25">
      <c r="A13" s="24" t="s">
        <v>222</v>
      </c>
      <c r="B13" s="25">
        <v>12</v>
      </c>
      <c r="C13" s="24" t="s">
        <v>192</v>
      </c>
      <c r="D13" s="24" t="s">
        <v>223</v>
      </c>
      <c r="E13" s="26" t="s">
        <v>224</v>
      </c>
      <c r="F13" s="25">
        <v>1</v>
      </c>
      <c r="G13" s="25">
        <v>12.67</v>
      </c>
      <c r="H13" s="24" t="s">
        <v>33</v>
      </c>
      <c r="I13" s="24" t="s">
        <v>34</v>
      </c>
      <c r="J13" s="25">
        <v>24</v>
      </c>
    </row>
    <row r="14" spans="1:18" x14ac:dyDescent="0.25">
      <c r="A14" s="24" t="s">
        <v>225</v>
      </c>
      <c r="B14" s="25">
        <v>13</v>
      </c>
      <c r="C14" s="24" t="s">
        <v>192</v>
      </c>
      <c r="D14" s="24" t="s">
        <v>223</v>
      </c>
      <c r="E14" s="26" t="s">
        <v>226</v>
      </c>
      <c r="F14" s="25">
        <v>1</v>
      </c>
      <c r="G14" s="25">
        <v>12.67</v>
      </c>
      <c r="H14" s="24" t="s">
        <v>33</v>
      </c>
      <c r="I14" s="24" t="s">
        <v>34</v>
      </c>
      <c r="J14" s="25">
        <v>24</v>
      </c>
    </row>
    <row r="15" spans="1:18" x14ac:dyDescent="0.25">
      <c r="A15" s="24" t="s">
        <v>227</v>
      </c>
      <c r="B15" s="25">
        <v>14</v>
      </c>
      <c r="C15" s="24" t="s">
        <v>192</v>
      </c>
      <c r="D15" s="24" t="s">
        <v>139</v>
      </c>
      <c r="E15" s="26" t="s">
        <v>228</v>
      </c>
      <c r="F15" s="25">
        <v>1</v>
      </c>
      <c r="G15" s="25">
        <v>12.67</v>
      </c>
      <c r="H15" s="24" t="s">
        <v>33</v>
      </c>
      <c r="I15" s="24" t="s">
        <v>34</v>
      </c>
      <c r="J15" s="25">
        <v>24</v>
      </c>
    </row>
    <row r="16" spans="1:18" x14ac:dyDescent="0.25">
      <c r="A16" s="24" t="s">
        <v>229</v>
      </c>
      <c r="B16" s="25">
        <v>15</v>
      </c>
      <c r="C16" s="24" t="s">
        <v>192</v>
      </c>
      <c r="D16" s="24" t="s">
        <v>139</v>
      </c>
      <c r="E16" s="26" t="s">
        <v>230</v>
      </c>
      <c r="F16" s="25">
        <v>1</v>
      </c>
      <c r="G16" s="25">
        <v>12.67</v>
      </c>
      <c r="H16" s="24" t="s">
        <v>33</v>
      </c>
      <c r="I16" s="24" t="s">
        <v>34</v>
      </c>
      <c r="J16" s="25">
        <v>24</v>
      </c>
    </row>
    <row r="17" spans="1:10" x14ac:dyDescent="0.25">
      <c r="A17" s="24" t="s">
        <v>231</v>
      </c>
      <c r="B17" s="25">
        <v>16</v>
      </c>
      <c r="C17" s="24" t="s">
        <v>192</v>
      </c>
      <c r="D17" s="24" t="s">
        <v>139</v>
      </c>
      <c r="E17" s="26" t="s">
        <v>232</v>
      </c>
      <c r="F17" s="25">
        <v>1</v>
      </c>
      <c r="G17" s="25">
        <v>12.67</v>
      </c>
      <c r="H17" s="24" t="s">
        <v>33</v>
      </c>
      <c r="I17" s="24" t="s">
        <v>34</v>
      </c>
      <c r="J17" s="25">
        <v>24</v>
      </c>
    </row>
    <row r="18" spans="1:10" x14ac:dyDescent="0.25">
      <c r="A18" s="24" t="s">
        <v>233</v>
      </c>
      <c r="B18" s="25">
        <v>17</v>
      </c>
      <c r="C18" s="24" t="s">
        <v>192</v>
      </c>
      <c r="D18" s="24" t="s">
        <v>208</v>
      </c>
      <c r="E18" s="26" t="s">
        <v>234</v>
      </c>
      <c r="F18" s="25">
        <v>1</v>
      </c>
      <c r="G18" s="25">
        <v>34</v>
      </c>
      <c r="H18" s="24" t="s">
        <v>41</v>
      </c>
      <c r="I18" s="24" t="s">
        <v>42</v>
      </c>
      <c r="J18" s="25">
        <v>24</v>
      </c>
    </row>
    <row r="19" spans="1:10" x14ac:dyDescent="0.25">
      <c r="A19" s="24" t="s">
        <v>233</v>
      </c>
      <c r="B19" s="25">
        <v>17</v>
      </c>
      <c r="C19" s="24" t="s">
        <v>192</v>
      </c>
      <c r="D19" s="24" t="s">
        <v>208</v>
      </c>
      <c r="E19" s="26" t="s">
        <v>234</v>
      </c>
      <c r="F19" s="25">
        <v>1</v>
      </c>
      <c r="G19" s="25">
        <v>0</v>
      </c>
      <c r="H19" s="27" t="s">
        <v>36</v>
      </c>
      <c r="I19" s="27" t="s">
        <v>36</v>
      </c>
      <c r="J19" s="25">
        <v>5</v>
      </c>
    </row>
    <row r="20" spans="1:10" x14ac:dyDescent="0.25">
      <c r="A20" s="24" t="s">
        <v>235</v>
      </c>
      <c r="B20" s="25">
        <v>18</v>
      </c>
      <c r="C20" s="24" t="s">
        <v>192</v>
      </c>
      <c r="D20" s="24" t="s">
        <v>236</v>
      </c>
      <c r="E20" s="26" t="s">
        <v>234</v>
      </c>
      <c r="F20" s="25">
        <v>1</v>
      </c>
      <c r="G20" s="25">
        <v>15.58</v>
      </c>
      <c r="H20" s="24" t="s">
        <v>33</v>
      </c>
      <c r="I20" s="24" t="s">
        <v>34</v>
      </c>
      <c r="J20" s="25">
        <v>24</v>
      </c>
    </row>
    <row r="21" spans="1:10" x14ac:dyDescent="0.25">
      <c r="A21" s="24" t="s">
        <v>237</v>
      </c>
      <c r="B21" s="25">
        <v>19</v>
      </c>
      <c r="C21" s="24" t="s">
        <v>192</v>
      </c>
      <c r="D21" s="24" t="s">
        <v>238</v>
      </c>
      <c r="E21" s="26" t="s">
        <v>239</v>
      </c>
      <c r="F21" s="25">
        <v>2</v>
      </c>
      <c r="G21" s="25">
        <v>19.16</v>
      </c>
      <c r="H21" s="24" t="s">
        <v>33</v>
      </c>
      <c r="I21" s="24" t="s">
        <v>39</v>
      </c>
      <c r="J21" s="25">
        <v>48</v>
      </c>
    </row>
    <row r="22" spans="1:10" x14ac:dyDescent="0.25">
      <c r="A22" s="24" t="s">
        <v>240</v>
      </c>
      <c r="B22" s="25">
        <v>20</v>
      </c>
      <c r="C22" s="24" t="s">
        <v>192</v>
      </c>
      <c r="D22" s="24" t="s">
        <v>241</v>
      </c>
      <c r="E22" s="26" t="s">
        <v>242</v>
      </c>
      <c r="F22" s="25">
        <v>2</v>
      </c>
      <c r="G22" s="25">
        <v>51.1</v>
      </c>
      <c r="H22" s="24" t="s">
        <v>41</v>
      </c>
      <c r="I22" s="24" t="s">
        <v>42</v>
      </c>
      <c r="J22" s="25">
        <v>48</v>
      </c>
    </row>
    <row r="23" spans="1:10" x14ac:dyDescent="0.25">
      <c r="A23" s="24" t="s">
        <v>240</v>
      </c>
      <c r="B23" s="25">
        <v>20</v>
      </c>
      <c r="C23" s="24" t="s">
        <v>192</v>
      </c>
      <c r="D23" s="24" t="s">
        <v>241</v>
      </c>
      <c r="E23" s="26" t="s">
        <v>242</v>
      </c>
      <c r="F23" s="25">
        <v>2</v>
      </c>
      <c r="G23" s="25">
        <v>0</v>
      </c>
      <c r="H23" s="27" t="s">
        <v>36</v>
      </c>
      <c r="I23" s="27" t="s">
        <v>36</v>
      </c>
      <c r="J23" s="25">
        <v>10</v>
      </c>
    </row>
    <row r="24" spans="1:10" x14ac:dyDescent="0.25">
      <c r="A24" s="24" t="s">
        <v>243</v>
      </c>
      <c r="B24" s="25">
        <v>21</v>
      </c>
      <c r="C24" s="24" t="s">
        <v>192</v>
      </c>
      <c r="D24" s="24" t="s">
        <v>244</v>
      </c>
      <c r="E24" s="26" t="s">
        <v>245</v>
      </c>
      <c r="F24" s="25">
        <v>1</v>
      </c>
      <c r="G24" s="25">
        <v>17.100000000000001</v>
      </c>
      <c r="H24" s="24" t="s">
        <v>41</v>
      </c>
      <c r="I24" s="24" t="s">
        <v>48</v>
      </c>
      <c r="J24" s="25">
        <v>24</v>
      </c>
    </row>
    <row r="25" spans="1:10" x14ac:dyDescent="0.25">
      <c r="A25" s="24" t="s">
        <v>243</v>
      </c>
      <c r="B25" s="25">
        <v>21</v>
      </c>
      <c r="C25" s="24" t="s">
        <v>192</v>
      </c>
      <c r="D25" s="24" t="s">
        <v>244</v>
      </c>
      <c r="E25" s="26" t="s">
        <v>245</v>
      </c>
      <c r="F25" s="25">
        <v>1</v>
      </c>
      <c r="G25" s="25">
        <v>0</v>
      </c>
      <c r="H25" s="27" t="s">
        <v>36</v>
      </c>
      <c r="I25" s="27" t="s">
        <v>36</v>
      </c>
      <c r="J25" s="25">
        <v>5</v>
      </c>
    </row>
    <row r="26" spans="1:10" x14ac:dyDescent="0.25">
      <c r="A26" s="24" t="s">
        <v>246</v>
      </c>
      <c r="B26" s="25">
        <v>22</v>
      </c>
      <c r="C26" s="24" t="s">
        <v>192</v>
      </c>
      <c r="D26" s="24" t="s">
        <v>139</v>
      </c>
      <c r="E26" s="26" t="s">
        <v>247</v>
      </c>
      <c r="F26" s="25">
        <v>1</v>
      </c>
      <c r="G26" s="25">
        <v>12.67</v>
      </c>
      <c r="H26" s="24" t="s">
        <v>33</v>
      </c>
      <c r="I26" s="24" t="s">
        <v>34</v>
      </c>
      <c r="J26" s="25">
        <v>24</v>
      </c>
    </row>
    <row r="27" spans="1:10" x14ac:dyDescent="0.25">
      <c r="A27" s="24" t="s">
        <v>248</v>
      </c>
      <c r="B27" s="25">
        <v>23</v>
      </c>
      <c r="C27" s="24" t="s">
        <v>192</v>
      </c>
      <c r="D27" s="24" t="s">
        <v>249</v>
      </c>
      <c r="E27" s="26" t="s">
        <v>250</v>
      </c>
      <c r="F27" s="25">
        <v>1</v>
      </c>
      <c r="G27" s="25">
        <v>12.67</v>
      </c>
      <c r="H27" s="24" t="s">
        <v>33</v>
      </c>
      <c r="I27" s="24" t="s">
        <v>34</v>
      </c>
      <c r="J27" s="25">
        <v>24</v>
      </c>
    </row>
    <row r="28" spans="1:10" x14ac:dyDescent="0.25">
      <c r="A28" s="24" t="s">
        <v>251</v>
      </c>
      <c r="B28" s="25">
        <v>24</v>
      </c>
      <c r="C28" s="24" t="s">
        <v>192</v>
      </c>
      <c r="D28" s="24" t="s">
        <v>252</v>
      </c>
      <c r="E28" s="26" t="s">
        <v>250</v>
      </c>
      <c r="F28" s="25">
        <v>1</v>
      </c>
      <c r="G28" s="25">
        <v>13.77</v>
      </c>
      <c r="H28" s="24" t="s">
        <v>33</v>
      </c>
      <c r="I28" s="24" t="s">
        <v>34</v>
      </c>
      <c r="J28" s="25">
        <v>24</v>
      </c>
    </row>
    <row r="29" spans="1:10" x14ac:dyDescent="0.25">
      <c r="A29" s="24" t="s">
        <v>253</v>
      </c>
      <c r="B29" s="25">
        <v>25</v>
      </c>
      <c r="C29" s="24" t="s">
        <v>192</v>
      </c>
      <c r="D29" s="24" t="s">
        <v>254</v>
      </c>
      <c r="E29" s="26" t="s">
        <v>255</v>
      </c>
      <c r="F29" s="25">
        <v>1</v>
      </c>
      <c r="G29" s="25">
        <v>8.31</v>
      </c>
      <c r="H29" s="24" t="s">
        <v>33</v>
      </c>
      <c r="I29" s="24" t="s">
        <v>39</v>
      </c>
      <c r="J29" s="25">
        <v>24</v>
      </c>
    </row>
    <row r="30" spans="1:10" x14ac:dyDescent="0.25">
      <c r="A30" s="24" t="s">
        <v>256</v>
      </c>
      <c r="B30" s="25">
        <v>26</v>
      </c>
      <c r="C30" s="24" t="s">
        <v>192</v>
      </c>
      <c r="D30" s="24" t="s">
        <v>257</v>
      </c>
      <c r="E30" s="26" t="s">
        <v>258</v>
      </c>
      <c r="F30" s="25">
        <v>1</v>
      </c>
      <c r="G30" s="25">
        <v>12.5</v>
      </c>
      <c r="H30" s="24" t="s">
        <v>33</v>
      </c>
      <c r="I30" s="24" t="s">
        <v>34</v>
      </c>
      <c r="J30" s="25">
        <v>24</v>
      </c>
    </row>
    <row r="31" spans="1:10" x14ac:dyDescent="0.25">
      <c r="A31" s="24" t="s">
        <v>259</v>
      </c>
      <c r="B31" s="25">
        <v>27</v>
      </c>
      <c r="C31" s="24" t="s">
        <v>192</v>
      </c>
      <c r="D31" s="24" t="s">
        <v>260</v>
      </c>
      <c r="E31" s="26" t="s">
        <v>261</v>
      </c>
      <c r="F31" s="25">
        <v>1</v>
      </c>
      <c r="G31" s="25">
        <v>36</v>
      </c>
      <c r="H31" s="24" t="s">
        <v>41</v>
      </c>
      <c r="I31" s="24" t="s">
        <v>42</v>
      </c>
      <c r="J31" s="25">
        <v>24</v>
      </c>
    </row>
    <row r="32" spans="1:10" x14ac:dyDescent="0.25">
      <c r="A32" s="24" t="s">
        <v>259</v>
      </c>
      <c r="B32" s="25">
        <v>27</v>
      </c>
      <c r="C32" s="24" t="s">
        <v>192</v>
      </c>
      <c r="D32" s="24" t="s">
        <v>260</v>
      </c>
      <c r="E32" s="26" t="s">
        <v>261</v>
      </c>
      <c r="F32" s="25">
        <v>2</v>
      </c>
      <c r="G32" s="25">
        <v>0</v>
      </c>
      <c r="H32" s="27" t="s">
        <v>36</v>
      </c>
      <c r="I32" s="27" t="s">
        <v>36</v>
      </c>
      <c r="J32" s="25">
        <v>10</v>
      </c>
    </row>
    <row r="33" spans="1:10" x14ac:dyDescent="0.25">
      <c r="A33" s="24" t="s">
        <v>262</v>
      </c>
      <c r="B33" s="25">
        <v>28</v>
      </c>
      <c r="C33" s="24" t="s">
        <v>192</v>
      </c>
      <c r="D33" s="24" t="s">
        <v>263</v>
      </c>
      <c r="E33" s="26" t="s">
        <v>264</v>
      </c>
      <c r="F33" s="25">
        <v>1</v>
      </c>
      <c r="G33" s="25">
        <v>34</v>
      </c>
      <c r="H33" s="24" t="s">
        <v>41</v>
      </c>
      <c r="I33" s="24" t="s">
        <v>42</v>
      </c>
      <c r="J33" s="25">
        <v>24</v>
      </c>
    </row>
    <row r="34" spans="1:10" x14ac:dyDescent="0.25">
      <c r="A34" s="24" t="s">
        <v>262</v>
      </c>
      <c r="B34" s="25">
        <v>28</v>
      </c>
      <c r="C34" s="24" t="s">
        <v>192</v>
      </c>
      <c r="D34" s="24" t="s">
        <v>263</v>
      </c>
      <c r="E34" s="26" t="s">
        <v>264</v>
      </c>
      <c r="F34" s="25">
        <v>1</v>
      </c>
      <c r="G34" s="25">
        <v>0</v>
      </c>
      <c r="H34" s="27" t="s">
        <v>36</v>
      </c>
      <c r="I34" s="27" t="s">
        <v>36</v>
      </c>
      <c r="J34" s="25">
        <v>5</v>
      </c>
    </row>
    <row r="35" spans="1:10" x14ac:dyDescent="0.25">
      <c r="A35" s="24" t="s">
        <v>265</v>
      </c>
      <c r="B35" s="25">
        <v>29</v>
      </c>
      <c r="C35" s="24" t="s">
        <v>192</v>
      </c>
      <c r="D35" s="24" t="s">
        <v>266</v>
      </c>
      <c r="E35" s="26" t="s">
        <v>267</v>
      </c>
      <c r="F35" s="25">
        <v>1</v>
      </c>
      <c r="G35" s="25">
        <v>34</v>
      </c>
      <c r="H35" s="24" t="s">
        <v>41</v>
      </c>
      <c r="I35" s="24" t="s">
        <v>42</v>
      </c>
      <c r="J35" s="25">
        <v>24</v>
      </c>
    </row>
    <row r="36" spans="1:10" x14ac:dyDescent="0.25">
      <c r="A36" s="24" t="s">
        <v>265</v>
      </c>
      <c r="B36" s="25">
        <v>29</v>
      </c>
      <c r="C36" s="24" t="s">
        <v>192</v>
      </c>
      <c r="D36" s="24" t="s">
        <v>266</v>
      </c>
      <c r="E36" s="26" t="s">
        <v>267</v>
      </c>
      <c r="F36" s="25">
        <v>1</v>
      </c>
      <c r="G36" s="25">
        <v>0</v>
      </c>
      <c r="H36" s="27" t="s">
        <v>36</v>
      </c>
      <c r="I36" s="27" t="s">
        <v>36</v>
      </c>
      <c r="J36" s="25">
        <v>5</v>
      </c>
    </row>
    <row r="37" spans="1:10" x14ac:dyDescent="0.25">
      <c r="A37" s="24" t="s">
        <v>268</v>
      </c>
      <c r="B37" s="25">
        <v>30</v>
      </c>
      <c r="C37" s="24" t="s">
        <v>192</v>
      </c>
      <c r="D37" s="24" t="s">
        <v>263</v>
      </c>
      <c r="E37" s="26" t="s">
        <v>269</v>
      </c>
      <c r="F37" s="25">
        <v>1</v>
      </c>
      <c r="G37" s="25">
        <v>34</v>
      </c>
      <c r="H37" s="24" t="s">
        <v>41</v>
      </c>
      <c r="I37" s="24" t="s">
        <v>42</v>
      </c>
      <c r="J37" s="25">
        <v>24</v>
      </c>
    </row>
    <row r="38" spans="1:10" x14ac:dyDescent="0.25">
      <c r="A38" s="24" t="s">
        <v>268</v>
      </c>
      <c r="B38" s="25">
        <v>30</v>
      </c>
      <c r="C38" s="24" t="s">
        <v>192</v>
      </c>
      <c r="D38" s="24" t="s">
        <v>263</v>
      </c>
      <c r="E38" s="26" t="s">
        <v>269</v>
      </c>
      <c r="F38" s="25">
        <v>1</v>
      </c>
      <c r="G38" s="25">
        <v>0</v>
      </c>
      <c r="H38" s="27" t="s">
        <v>36</v>
      </c>
      <c r="I38" s="27" t="s">
        <v>36</v>
      </c>
      <c r="J38" s="25">
        <v>5</v>
      </c>
    </row>
    <row r="39" spans="1:10" x14ac:dyDescent="0.25">
      <c r="A39" s="24" t="s">
        <v>270</v>
      </c>
      <c r="B39" s="25">
        <v>31</v>
      </c>
      <c r="C39" s="24" t="s">
        <v>192</v>
      </c>
      <c r="D39" s="24" t="s">
        <v>263</v>
      </c>
      <c r="E39" s="26" t="s">
        <v>271</v>
      </c>
      <c r="F39" s="25">
        <v>1</v>
      </c>
      <c r="G39" s="25">
        <v>40.299999999999997</v>
      </c>
      <c r="H39" s="24" t="s">
        <v>41</v>
      </c>
      <c r="I39" s="24" t="s">
        <v>42</v>
      </c>
      <c r="J39" s="25">
        <v>24</v>
      </c>
    </row>
    <row r="40" spans="1:10" x14ac:dyDescent="0.25">
      <c r="A40" s="24" t="s">
        <v>270</v>
      </c>
      <c r="B40" s="25">
        <v>31</v>
      </c>
      <c r="C40" s="24" t="s">
        <v>192</v>
      </c>
      <c r="D40" s="24" t="s">
        <v>263</v>
      </c>
      <c r="E40" s="26" t="s">
        <v>271</v>
      </c>
      <c r="F40" s="25">
        <v>2</v>
      </c>
      <c r="G40" s="25">
        <v>0</v>
      </c>
      <c r="H40" s="27" t="s">
        <v>36</v>
      </c>
      <c r="I40" s="27" t="s">
        <v>36</v>
      </c>
      <c r="J40" s="25">
        <v>10</v>
      </c>
    </row>
    <row r="41" spans="1:10" x14ac:dyDescent="0.25">
      <c r="A41" s="24" t="s">
        <v>272</v>
      </c>
      <c r="B41" s="25">
        <v>32</v>
      </c>
      <c r="C41" s="24" t="s">
        <v>192</v>
      </c>
      <c r="D41" s="24" t="s">
        <v>273</v>
      </c>
      <c r="E41" s="26" t="s">
        <v>274</v>
      </c>
      <c r="F41" s="25">
        <v>1</v>
      </c>
      <c r="G41" s="25">
        <v>40.450000000000003</v>
      </c>
      <c r="H41" s="24" t="s">
        <v>41</v>
      </c>
      <c r="I41" s="24" t="s">
        <v>42</v>
      </c>
      <c r="J41" s="25">
        <v>24</v>
      </c>
    </row>
    <row r="42" spans="1:10" x14ac:dyDescent="0.25">
      <c r="A42" s="24" t="s">
        <v>272</v>
      </c>
      <c r="B42" s="25">
        <v>32</v>
      </c>
      <c r="C42" s="24" t="s">
        <v>192</v>
      </c>
      <c r="D42" s="24" t="s">
        <v>273</v>
      </c>
      <c r="E42" s="26" t="s">
        <v>274</v>
      </c>
      <c r="F42" s="25">
        <v>2</v>
      </c>
      <c r="G42" s="25">
        <v>0</v>
      </c>
      <c r="H42" s="27" t="s">
        <v>36</v>
      </c>
      <c r="I42" s="27" t="s">
        <v>36</v>
      </c>
      <c r="J42" s="25">
        <v>10</v>
      </c>
    </row>
    <row r="43" spans="1:10" x14ac:dyDescent="0.25">
      <c r="A43" s="24" t="s">
        <v>275</v>
      </c>
      <c r="B43" s="25">
        <v>33</v>
      </c>
      <c r="C43" s="24" t="s">
        <v>192</v>
      </c>
      <c r="D43" s="24" t="s">
        <v>276</v>
      </c>
      <c r="E43" s="26" t="s">
        <v>277</v>
      </c>
      <c r="F43" s="25">
        <v>1</v>
      </c>
      <c r="G43" s="25">
        <v>40.450000000000003</v>
      </c>
      <c r="H43" s="24" t="s">
        <v>41</v>
      </c>
      <c r="I43" s="24" t="s">
        <v>42</v>
      </c>
      <c r="J43" s="25">
        <v>24</v>
      </c>
    </row>
    <row r="44" spans="1:10" x14ac:dyDescent="0.25">
      <c r="A44" s="24" t="s">
        <v>275</v>
      </c>
      <c r="B44" s="25">
        <v>33</v>
      </c>
      <c r="C44" s="24" t="s">
        <v>192</v>
      </c>
      <c r="D44" s="24" t="s">
        <v>276</v>
      </c>
      <c r="E44" s="26" t="s">
        <v>277</v>
      </c>
      <c r="F44" s="25">
        <v>2</v>
      </c>
      <c r="G44" s="25">
        <v>0</v>
      </c>
      <c r="H44" s="27" t="s">
        <v>36</v>
      </c>
      <c r="I44" s="27" t="s">
        <v>36</v>
      </c>
      <c r="J44" s="25">
        <v>10</v>
      </c>
    </row>
    <row r="45" spans="1:10" x14ac:dyDescent="0.25">
      <c r="A45" s="24" t="s">
        <v>278</v>
      </c>
      <c r="B45" s="25">
        <v>34</v>
      </c>
      <c r="C45" s="24" t="s">
        <v>192</v>
      </c>
      <c r="D45" s="24" t="s">
        <v>279</v>
      </c>
      <c r="E45" s="26" t="s">
        <v>280</v>
      </c>
      <c r="F45" s="25">
        <v>1</v>
      </c>
      <c r="G45" s="25">
        <v>34.15</v>
      </c>
      <c r="H45" s="24" t="s">
        <v>41</v>
      </c>
      <c r="I45" s="24" t="s">
        <v>42</v>
      </c>
      <c r="J45" s="25">
        <v>24</v>
      </c>
    </row>
    <row r="46" spans="1:10" x14ac:dyDescent="0.25">
      <c r="A46" s="24" t="s">
        <v>278</v>
      </c>
      <c r="B46" s="25">
        <v>34</v>
      </c>
      <c r="C46" s="24" t="s">
        <v>192</v>
      </c>
      <c r="D46" s="24" t="s">
        <v>279</v>
      </c>
      <c r="E46" s="26" t="s">
        <v>280</v>
      </c>
      <c r="F46" s="25">
        <v>1</v>
      </c>
      <c r="G46" s="25">
        <v>0</v>
      </c>
      <c r="H46" s="27" t="s">
        <v>36</v>
      </c>
      <c r="I46" s="27" t="s">
        <v>36</v>
      </c>
      <c r="J46" s="25">
        <v>5</v>
      </c>
    </row>
    <row r="47" spans="1:10" x14ac:dyDescent="0.25">
      <c r="A47" s="24" t="s">
        <v>281</v>
      </c>
      <c r="B47" s="25">
        <v>35</v>
      </c>
      <c r="C47" s="24" t="s">
        <v>192</v>
      </c>
      <c r="D47" s="24" t="s">
        <v>282</v>
      </c>
      <c r="E47" s="26" t="s">
        <v>283</v>
      </c>
      <c r="F47" s="25">
        <v>2</v>
      </c>
      <c r="G47" s="25">
        <v>68.3</v>
      </c>
      <c r="H47" s="24" t="s">
        <v>41</v>
      </c>
      <c r="I47" s="24" t="s">
        <v>42</v>
      </c>
      <c r="J47" s="25">
        <v>48</v>
      </c>
    </row>
    <row r="48" spans="1:10" x14ac:dyDescent="0.25">
      <c r="A48" s="24" t="s">
        <v>281</v>
      </c>
      <c r="B48" s="25">
        <v>35</v>
      </c>
      <c r="C48" s="24" t="s">
        <v>192</v>
      </c>
      <c r="D48" s="24" t="s">
        <v>282</v>
      </c>
      <c r="E48" s="26" t="s">
        <v>283</v>
      </c>
      <c r="F48" s="25">
        <v>2</v>
      </c>
      <c r="G48" s="25">
        <v>0</v>
      </c>
      <c r="H48" s="27" t="s">
        <v>36</v>
      </c>
      <c r="I48" s="27" t="s">
        <v>36</v>
      </c>
      <c r="J48" s="25">
        <v>10</v>
      </c>
    </row>
    <row r="49" spans="1:10" x14ac:dyDescent="0.25">
      <c r="A49" s="24" t="s">
        <v>284</v>
      </c>
      <c r="B49" s="25">
        <v>36</v>
      </c>
      <c r="C49" s="24" t="s">
        <v>192</v>
      </c>
      <c r="D49" s="24" t="s">
        <v>279</v>
      </c>
      <c r="E49" s="26" t="s">
        <v>285</v>
      </c>
      <c r="F49" s="25">
        <v>1</v>
      </c>
      <c r="G49" s="25">
        <v>34.15</v>
      </c>
      <c r="H49" s="24" t="s">
        <v>41</v>
      </c>
      <c r="I49" s="24" t="s">
        <v>42</v>
      </c>
      <c r="J49" s="25">
        <v>24</v>
      </c>
    </row>
    <row r="50" spans="1:10" x14ac:dyDescent="0.25">
      <c r="A50" s="24" t="s">
        <v>284</v>
      </c>
      <c r="B50" s="25">
        <v>36</v>
      </c>
      <c r="C50" s="24" t="s">
        <v>192</v>
      </c>
      <c r="D50" s="24" t="s">
        <v>279</v>
      </c>
      <c r="E50" s="26" t="s">
        <v>285</v>
      </c>
      <c r="F50" s="25">
        <v>1</v>
      </c>
      <c r="G50" s="25">
        <v>0</v>
      </c>
      <c r="H50" s="27" t="s">
        <v>36</v>
      </c>
      <c r="I50" s="27" t="s">
        <v>36</v>
      </c>
      <c r="J50" s="25">
        <v>5</v>
      </c>
    </row>
    <row r="51" spans="1:10" x14ac:dyDescent="0.25">
      <c r="A51" s="24" t="s">
        <v>286</v>
      </c>
      <c r="B51" s="25">
        <v>37</v>
      </c>
      <c r="C51" s="24" t="s">
        <v>192</v>
      </c>
      <c r="D51" s="24" t="s">
        <v>279</v>
      </c>
      <c r="E51" s="26" t="s">
        <v>287</v>
      </c>
      <c r="F51" s="25">
        <v>1</v>
      </c>
      <c r="G51" s="25">
        <v>34.15</v>
      </c>
      <c r="H51" s="24" t="s">
        <v>41</v>
      </c>
      <c r="I51" s="24" t="s">
        <v>42</v>
      </c>
      <c r="J51" s="25">
        <v>24</v>
      </c>
    </row>
    <row r="52" spans="1:10" x14ac:dyDescent="0.25">
      <c r="A52" s="24" t="s">
        <v>286</v>
      </c>
      <c r="B52" s="25">
        <v>37</v>
      </c>
      <c r="C52" s="24" t="s">
        <v>192</v>
      </c>
      <c r="D52" s="24" t="s">
        <v>279</v>
      </c>
      <c r="E52" s="26" t="s">
        <v>287</v>
      </c>
      <c r="F52" s="25">
        <v>1</v>
      </c>
      <c r="G52" s="25">
        <v>0</v>
      </c>
      <c r="H52" s="27" t="s">
        <v>36</v>
      </c>
      <c r="I52" s="27" t="s">
        <v>36</v>
      </c>
      <c r="J52" s="25">
        <v>5</v>
      </c>
    </row>
    <row r="53" spans="1:10" x14ac:dyDescent="0.25">
      <c r="A53" s="24" t="s">
        <v>288</v>
      </c>
      <c r="B53" s="25">
        <v>38</v>
      </c>
      <c r="C53" s="24" t="s">
        <v>192</v>
      </c>
      <c r="D53" s="24" t="s">
        <v>289</v>
      </c>
      <c r="E53" s="26" t="s">
        <v>290</v>
      </c>
      <c r="F53" s="25">
        <v>3</v>
      </c>
      <c r="G53" s="25">
        <v>102.45</v>
      </c>
      <c r="H53" s="24" t="s">
        <v>41</v>
      </c>
      <c r="I53" s="24" t="s">
        <v>42</v>
      </c>
      <c r="J53" s="25">
        <v>72</v>
      </c>
    </row>
    <row r="54" spans="1:10" x14ac:dyDescent="0.25">
      <c r="A54" s="24" t="s">
        <v>288</v>
      </c>
      <c r="B54" s="25">
        <v>38</v>
      </c>
      <c r="C54" s="24" t="s">
        <v>192</v>
      </c>
      <c r="D54" s="24" t="s">
        <v>289</v>
      </c>
      <c r="E54" s="26" t="s">
        <v>290</v>
      </c>
      <c r="F54" s="25">
        <v>3</v>
      </c>
      <c r="G54" s="25">
        <v>0</v>
      </c>
      <c r="H54" s="27" t="s">
        <v>36</v>
      </c>
      <c r="I54" s="27" t="s">
        <v>36</v>
      </c>
      <c r="J54" s="25">
        <v>15</v>
      </c>
    </row>
    <row r="55" spans="1:10" x14ac:dyDescent="0.25">
      <c r="A55" s="24" t="s">
        <v>291</v>
      </c>
      <c r="B55" s="25">
        <v>39</v>
      </c>
      <c r="C55" s="24" t="s">
        <v>192</v>
      </c>
      <c r="D55" s="24" t="s">
        <v>292</v>
      </c>
      <c r="E55" s="26" t="s">
        <v>293</v>
      </c>
      <c r="F55" s="25">
        <v>1</v>
      </c>
      <c r="G55" s="25">
        <v>12</v>
      </c>
      <c r="H55" s="24" t="s">
        <v>33</v>
      </c>
      <c r="I55" s="24" t="s">
        <v>39</v>
      </c>
      <c r="J55" s="25">
        <v>24</v>
      </c>
    </row>
    <row r="56" spans="1:10" x14ac:dyDescent="0.25">
      <c r="A56" s="24" t="s">
        <v>294</v>
      </c>
      <c r="B56" s="25">
        <v>40</v>
      </c>
      <c r="C56" s="24" t="s">
        <v>192</v>
      </c>
      <c r="D56" s="24" t="s">
        <v>295</v>
      </c>
      <c r="E56" s="26" t="s">
        <v>293</v>
      </c>
      <c r="F56" s="25">
        <v>1</v>
      </c>
      <c r="G56" s="25">
        <v>8.4499999999999993</v>
      </c>
      <c r="H56" s="24" t="s">
        <v>33</v>
      </c>
      <c r="I56" s="24" t="s">
        <v>39</v>
      </c>
      <c r="J56" s="25">
        <v>24</v>
      </c>
    </row>
    <row r="57" spans="1:10" x14ac:dyDescent="0.25">
      <c r="A57" s="24" t="s">
        <v>296</v>
      </c>
      <c r="B57" s="25">
        <v>41</v>
      </c>
      <c r="C57" s="24" t="s">
        <v>192</v>
      </c>
      <c r="D57" s="24" t="s">
        <v>297</v>
      </c>
      <c r="E57" s="26" t="s">
        <v>298</v>
      </c>
      <c r="F57" s="25">
        <v>1</v>
      </c>
      <c r="G57" s="25">
        <v>9.9</v>
      </c>
      <c r="H57" s="24" t="s">
        <v>33</v>
      </c>
      <c r="I57" s="24" t="s">
        <v>39</v>
      </c>
      <c r="J57" s="25">
        <v>24</v>
      </c>
    </row>
    <row r="58" spans="1:10" x14ac:dyDescent="0.25">
      <c r="A58" s="24" t="s">
        <v>299</v>
      </c>
      <c r="B58" s="25">
        <v>42</v>
      </c>
      <c r="C58" s="24" t="s">
        <v>192</v>
      </c>
      <c r="D58" s="24" t="s">
        <v>297</v>
      </c>
      <c r="E58" s="26" t="s">
        <v>300</v>
      </c>
      <c r="F58" s="25">
        <v>1</v>
      </c>
      <c r="G58" s="25">
        <v>9.9</v>
      </c>
      <c r="H58" s="24" t="s">
        <v>33</v>
      </c>
      <c r="I58" s="24" t="s">
        <v>39</v>
      </c>
      <c r="J58" s="25">
        <v>24</v>
      </c>
    </row>
    <row r="59" spans="1:10" x14ac:dyDescent="0.25">
      <c r="A59" s="24" t="s">
        <v>301</v>
      </c>
      <c r="B59" s="25">
        <v>43</v>
      </c>
      <c r="C59" s="24" t="s">
        <v>192</v>
      </c>
      <c r="D59" s="24" t="s">
        <v>302</v>
      </c>
      <c r="E59" s="26" t="s">
        <v>303</v>
      </c>
      <c r="F59" s="25">
        <v>1</v>
      </c>
      <c r="G59" s="25">
        <v>8.6999999999999993</v>
      </c>
      <c r="H59" s="24" t="s">
        <v>33</v>
      </c>
      <c r="I59" s="24" t="s">
        <v>34</v>
      </c>
      <c r="J59" s="25">
        <v>24</v>
      </c>
    </row>
    <row r="60" spans="1:10" x14ac:dyDescent="0.25">
      <c r="A60" s="24" t="s">
        <v>304</v>
      </c>
      <c r="B60" s="25">
        <v>44</v>
      </c>
      <c r="C60" s="24" t="s">
        <v>192</v>
      </c>
      <c r="D60" s="24" t="s">
        <v>305</v>
      </c>
      <c r="E60" s="26" t="s">
        <v>306</v>
      </c>
      <c r="F60" s="25">
        <v>1</v>
      </c>
      <c r="G60" s="25">
        <v>9</v>
      </c>
      <c r="H60" s="24" t="s">
        <v>33</v>
      </c>
      <c r="I60" s="24" t="s">
        <v>34</v>
      </c>
      <c r="J60" s="25">
        <v>24</v>
      </c>
    </row>
    <row r="61" spans="1:10" x14ac:dyDescent="0.25">
      <c r="A61" s="24" t="s">
        <v>307</v>
      </c>
      <c r="B61" s="25">
        <v>45</v>
      </c>
      <c r="C61" s="24" t="s">
        <v>192</v>
      </c>
      <c r="D61" s="24" t="s">
        <v>308</v>
      </c>
      <c r="E61" s="26" t="s">
        <v>309</v>
      </c>
      <c r="F61" s="25">
        <v>1</v>
      </c>
      <c r="G61" s="25">
        <v>11.88</v>
      </c>
      <c r="H61" s="24" t="s">
        <v>33</v>
      </c>
      <c r="I61" s="24" t="s">
        <v>34</v>
      </c>
      <c r="J61" s="25">
        <v>24</v>
      </c>
    </row>
    <row r="62" spans="1:10" x14ac:dyDescent="0.25">
      <c r="A62" s="24" t="s">
        <v>310</v>
      </c>
      <c r="B62" s="25">
        <v>46</v>
      </c>
      <c r="C62" s="24" t="s">
        <v>192</v>
      </c>
      <c r="D62" s="24" t="s">
        <v>311</v>
      </c>
      <c r="E62" s="26" t="s">
        <v>312</v>
      </c>
      <c r="F62" s="25">
        <v>3</v>
      </c>
      <c r="G62" s="25">
        <v>17.8</v>
      </c>
      <c r="H62" s="24" t="s">
        <v>41</v>
      </c>
      <c r="I62" s="24" t="s">
        <v>48</v>
      </c>
      <c r="J62" s="25">
        <v>72</v>
      </c>
    </row>
    <row r="63" spans="1:10" x14ac:dyDescent="0.25">
      <c r="A63" s="24" t="s">
        <v>313</v>
      </c>
      <c r="B63" s="25">
        <v>47</v>
      </c>
      <c r="C63" s="24" t="s">
        <v>192</v>
      </c>
      <c r="D63" s="24" t="s">
        <v>314</v>
      </c>
      <c r="E63" s="26" t="s">
        <v>300</v>
      </c>
      <c r="F63" s="25">
        <v>3</v>
      </c>
      <c r="G63" s="25">
        <v>17.8</v>
      </c>
      <c r="H63" s="24" t="s">
        <v>41</v>
      </c>
      <c r="I63" s="24" t="s">
        <v>48</v>
      </c>
      <c r="J63" s="25">
        <v>72</v>
      </c>
    </row>
    <row r="64" spans="1:10" x14ac:dyDescent="0.25">
      <c r="A64" s="24" t="s">
        <v>315</v>
      </c>
      <c r="B64" s="25">
        <v>48</v>
      </c>
      <c r="C64" s="24" t="s">
        <v>192</v>
      </c>
      <c r="D64" s="24" t="s">
        <v>316</v>
      </c>
      <c r="E64" s="26" t="s">
        <v>317</v>
      </c>
      <c r="F64" s="25">
        <v>2</v>
      </c>
      <c r="G64" s="25">
        <v>2.9729999999999999</v>
      </c>
      <c r="H64" s="24" t="s">
        <v>41</v>
      </c>
      <c r="I64" s="24" t="s">
        <v>42</v>
      </c>
      <c r="J64" s="25">
        <v>48</v>
      </c>
    </row>
    <row r="65" spans="1:10" x14ac:dyDescent="0.25">
      <c r="A65" s="24" t="s">
        <v>315</v>
      </c>
      <c r="B65" s="25">
        <v>48</v>
      </c>
      <c r="C65" s="24" t="s">
        <v>192</v>
      </c>
      <c r="D65" s="24" t="s">
        <v>316</v>
      </c>
      <c r="E65" s="26" t="s">
        <v>317</v>
      </c>
      <c r="F65" s="25">
        <v>2</v>
      </c>
      <c r="G65" s="25">
        <v>0</v>
      </c>
      <c r="H65" s="27" t="s">
        <v>36</v>
      </c>
      <c r="I65" s="27" t="s">
        <v>36</v>
      </c>
      <c r="J65" s="25">
        <v>10</v>
      </c>
    </row>
    <row r="66" spans="1:10" x14ac:dyDescent="0.25">
      <c r="A66" s="24" t="s">
        <v>318</v>
      </c>
      <c r="B66" s="25">
        <v>49</v>
      </c>
      <c r="C66" s="24" t="s">
        <v>192</v>
      </c>
      <c r="D66" s="24" t="s">
        <v>279</v>
      </c>
      <c r="E66" s="26" t="s">
        <v>319</v>
      </c>
      <c r="F66" s="25">
        <v>1</v>
      </c>
      <c r="G66" s="25">
        <v>34</v>
      </c>
      <c r="H66" s="24" t="s">
        <v>41</v>
      </c>
      <c r="I66" s="24" t="s">
        <v>42</v>
      </c>
      <c r="J66" s="25">
        <v>24</v>
      </c>
    </row>
    <row r="67" spans="1:10" x14ac:dyDescent="0.25">
      <c r="A67" s="24" t="s">
        <v>318</v>
      </c>
      <c r="B67" s="25">
        <v>49</v>
      </c>
      <c r="C67" s="24" t="s">
        <v>192</v>
      </c>
      <c r="D67" s="24" t="s">
        <v>279</v>
      </c>
      <c r="E67" s="26" t="s">
        <v>319</v>
      </c>
      <c r="F67" s="25">
        <v>1</v>
      </c>
      <c r="G67" s="25">
        <v>0</v>
      </c>
      <c r="H67" s="27" t="s">
        <v>36</v>
      </c>
      <c r="I67" s="27" t="s">
        <v>36</v>
      </c>
      <c r="J67" s="25">
        <v>5</v>
      </c>
    </row>
    <row r="68" spans="1:10" x14ac:dyDescent="0.25">
      <c r="A68" s="24" t="s">
        <v>320</v>
      </c>
      <c r="B68" s="25">
        <v>50</v>
      </c>
      <c r="C68" s="24" t="s">
        <v>192</v>
      </c>
      <c r="D68" s="24" t="s">
        <v>279</v>
      </c>
      <c r="E68" s="26" t="s">
        <v>321</v>
      </c>
      <c r="F68" s="25">
        <v>1</v>
      </c>
      <c r="G68" s="25">
        <v>34</v>
      </c>
      <c r="H68" s="24" t="s">
        <v>41</v>
      </c>
      <c r="I68" s="24" t="s">
        <v>42</v>
      </c>
      <c r="J68" s="25">
        <v>24</v>
      </c>
    </row>
    <row r="69" spans="1:10" x14ac:dyDescent="0.25">
      <c r="A69" s="24" t="s">
        <v>320</v>
      </c>
      <c r="B69" s="25">
        <v>50</v>
      </c>
      <c r="C69" s="24" t="s">
        <v>192</v>
      </c>
      <c r="D69" s="24" t="s">
        <v>279</v>
      </c>
      <c r="E69" s="26" t="s">
        <v>321</v>
      </c>
      <c r="F69" s="25">
        <v>1</v>
      </c>
      <c r="G69" s="25">
        <v>0</v>
      </c>
      <c r="H69" s="27" t="s">
        <v>36</v>
      </c>
      <c r="I69" s="27" t="s">
        <v>36</v>
      </c>
      <c r="J69" s="25">
        <v>5</v>
      </c>
    </row>
    <row r="70" spans="1:10" x14ac:dyDescent="0.25">
      <c r="A70" s="24" t="s">
        <v>322</v>
      </c>
      <c r="B70" s="25">
        <v>51</v>
      </c>
      <c r="C70" s="24" t="s">
        <v>192</v>
      </c>
      <c r="D70" s="24" t="s">
        <v>323</v>
      </c>
      <c r="E70" s="26" t="s">
        <v>38</v>
      </c>
      <c r="F70" s="25">
        <v>15</v>
      </c>
      <c r="G70" s="25">
        <v>24.920999999999999</v>
      </c>
      <c r="H70" s="27" t="s">
        <v>36</v>
      </c>
      <c r="I70" s="27" t="s">
        <v>36</v>
      </c>
      <c r="J70" s="25">
        <v>60</v>
      </c>
    </row>
    <row r="71" spans="1:10" x14ac:dyDescent="0.25">
      <c r="A71" s="24" t="s">
        <v>324</v>
      </c>
      <c r="B71" s="25">
        <v>53</v>
      </c>
      <c r="C71" s="24" t="s">
        <v>192</v>
      </c>
      <c r="D71" s="24" t="s">
        <v>325</v>
      </c>
      <c r="E71" s="26" t="s">
        <v>326</v>
      </c>
      <c r="F71" s="25">
        <v>1</v>
      </c>
      <c r="G71" s="25">
        <v>34</v>
      </c>
      <c r="H71" s="24" t="s">
        <v>41</v>
      </c>
      <c r="I71" s="24" t="s">
        <v>42</v>
      </c>
      <c r="J71" s="25">
        <v>24</v>
      </c>
    </row>
    <row r="72" spans="1:10" x14ac:dyDescent="0.25">
      <c r="A72" s="24" t="s">
        <v>324</v>
      </c>
      <c r="B72" s="25">
        <v>53</v>
      </c>
      <c r="C72" s="24" t="s">
        <v>192</v>
      </c>
      <c r="D72" s="24" t="s">
        <v>325</v>
      </c>
      <c r="E72" s="26" t="s">
        <v>326</v>
      </c>
      <c r="F72" s="25">
        <v>1</v>
      </c>
      <c r="G72" s="25">
        <v>0</v>
      </c>
      <c r="H72" s="27" t="s">
        <v>36</v>
      </c>
      <c r="I72" s="27" t="s">
        <v>36</v>
      </c>
      <c r="J72" s="25">
        <v>5</v>
      </c>
    </row>
    <row r="73" spans="1:10" x14ac:dyDescent="0.25">
      <c r="A73" s="24" t="s">
        <v>327</v>
      </c>
      <c r="B73" s="25">
        <v>54</v>
      </c>
      <c r="C73" s="24" t="s">
        <v>192</v>
      </c>
      <c r="D73" s="24" t="s">
        <v>328</v>
      </c>
      <c r="E73" s="26" t="s">
        <v>329</v>
      </c>
      <c r="F73" s="25">
        <v>1</v>
      </c>
      <c r="G73" s="25">
        <v>21.7</v>
      </c>
      <c r="H73" s="24" t="s">
        <v>41</v>
      </c>
      <c r="I73" s="24" t="s">
        <v>42</v>
      </c>
      <c r="J73" s="25">
        <v>24</v>
      </c>
    </row>
    <row r="74" spans="1:10" x14ac:dyDescent="0.25">
      <c r="A74" s="24" t="s">
        <v>330</v>
      </c>
      <c r="B74" s="25">
        <v>55</v>
      </c>
      <c r="C74" s="24" t="s">
        <v>192</v>
      </c>
      <c r="D74" s="24" t="s">
        <v>331</v>
      </c>
      <c r="E74" s="26" t="s">
        <v>332</v>
      </c>
      <c r="F74" s="25">
        <v>1</v>
      </c>
      <c r="G74" s="25">
        <v>12.33</v>
      </c>
      <c r="H74" s="24" t="s">
        <v>33</v>
      </c>
      <c r="I74" s="24" t="s">
        <v>34</v>
      </c>
      <c r="J74" s="25">
        <v>24</v>
      </c>
    </row>
    <row r="75" spans="1:10" x14ac:dyDescent="0.25">
      <c r="A75" s="24" t="s">
        <v>333</v>
      </c>
      <c r="B75" s="25">
        <v>56</v>
      </c>
      <c r="C75" s="24" t="s">
        <v>192</v>
      </c>
      <c r="D75" s="24" t="s">
        <v>334</v>
      </c>
      <c r="E75" s="26" t="s">
        <v>335</v>
      </c>
      <c r="F75" s="25">
        <v>1</v>
      </c>
      <c r="G75" s="25">
        <v>7.91</v>
      </c>
      <c r="H75" s="24" t="s">
        <v>33</v>
      </c>
      <c r="I75" s="24" t="s">
        <v>34</v>
      </c>
      <c r="J75" s="25">
        <v>24</v>
      </c>
    </row>
    <row r="76" spans="1:10" x14ac:dyDescent="0.25">
      <c r="A76" s="24" t="s">
        <v>336</v>
      </c>
      <c r="B76" s="25">
        <v>57</v>
      </c>
      <c r="C76" s="24" t="s">
        <v>192</v>
      </c>
      <c r="D76" s="24" t="s">
        <v>337</v>
      </c>
      <c r="E76" s="26" t="s">
        <v>338</v>
      </c>
      <c r="F76" s="25">
        <v>2</v>
      </c>
      <c r="G76" s="25">
        <v>15.69</v>
      </c>
      <c r="H76" s="24" t="s">
        <v>33</v>
      </c>
      <c r="I76" s="24" t="s">
        <v>34</v>
      </c>
      <c r="J76" s="25">
        <v>48</v>
      </c>
    </row>
    <row r="77" spans="1:10" x14ac:dyDescent="0.25">
      <c r="A77" s="24" t="s">
        <v>339</v>
      </c>
      <c r="B77" s="25">
        <v>58</v>
      </c>
      <c r="C77" s="24" t="s">
        <v>192</v>
      </c>
      <c r="D77" s="24" t="s">
        <v>340</v>
      </c>
      <c r="E77" s="26" t="s">
        <v>341</v>
      </c>
      <c r="F77" s="25">
        <v>1</v>
      </c>
      <c r="G77" s="25">
        <v>12.67</v>
      </c>
      <c r="H77" s="24" t="s">
        <v>33</v>
      </c>
      <c r="I77" s="24" t="s">
        <v>34</v>
      </c>
      <c r="J77" s="25">
        <v>24</v>
      </c>
    </row>
    <row r="78" spans="1:10" x14ac:dyDescent="0.25">
      <c r="A78" s="24" t="s">
        <v>342</v>
      </c>
      <c r="B78" s="25">
        <v>59</v>
      </c>
      <c r="C78" s="24" t="s">
        <v>192</v>
      </c>
      <c r="D78" s="24" t="s">
        <v>343</v>
      </c>
      <c r="E78" s="26" t="s">
        <v>344</v>
      </c>
      <c r="F78" s="25">
        <v>1</v>
      </c>
      <c r="G78" s="25">
        <v>12.67</v>
      </c>
      <c r="H78" s="24" t="s">
        <v>33</v>
      </c>
      <c r="I78" s="24" t="s">
        <v>34</v>
      </c>
      <c r="J78" s="25">
        <v>24</v>
      </c>
    </row>
    <row r="79" spans="1:10" x14ac:dyDescent="0.25">
      <c r="A79" s="24" t="s">
        <v>345</v>
      </c>
      <c r="B79" s="25">
        <v>60</v>
      </c>
      <c r="C79" s="24" t="s">
        <v>192</v>
      </c>
      <c r="D79" s="24" t="s">
        <v>346</v>
      </c>
      <c r="E79" s="26" t="s">
        <v>347</v>
      </c>
      <c r="F79" s="25">
        <v>1</v>
      </c>
      <c r="G79" s="25">
        <v>15</v>
      </c>
      <c r="H79" s="24" t="s">
        <v>33</v>
      </c>
      <c r="I79" s="24" t="s">
        <v>34</v>
      </c>
      <c r="J79" s="25">
        <v>24</v>
      </c>
    </row>
    <row r="80" spans="1:10" x14ac:dyDescent="0.25">
      <c r="A80" s="24" t="s">
        <v>348</v>
      </c>
      <c r="B80" s="25">
        <v>61</v>
      </c>
      <c r="C80" s="24" t="s">
        <v>192</v>
      </c>
      <c r="D80" s="24" t="s">
        <v>349</v>
      </c>
      <c r="E80" s="26" t="s">
        <v>350</v>
      </c>
      <c r="F80" s="25">
        <v>1</v>
      </c>
      <c r="G80" s="25">
        <v>15</v>
      </c>
      <c r="H80" s="24" t="s">
        <v>33</v>
      </c>
      <c r="I80" s="24" t="s">
        <v>34</v>
      </c>
      <c r="J80" s="25">
        <v>24</v>
      </c>
    </row>
    <row r="81" spans="1:10" x14ac:dyDescent="0.25">
      <c r="A81" s="24" t="s">
        <v>351</v>
      </c>
      <c r="B81" s="25">
        <v>62</v>
      </c>
      <c r="C81" s="24" t="s">
        <v>192</v>
      </c>
      <c r="D81" s="24" t="s">
        <v>352</v>
      </c>
      <c r="E81" s="26" t="s">
        <v>353</v>
      </c>
      <c r="F81" s="25">
        <v>2</v>
      </c>
      <c r="G81" s="25">
        <v>21</v>
      </c>
      <c r="H81" s="24" t="s">
        <v>33</v>
      </c>
      <c r="I81" s="24" t="s">
        <v>34</v>
      </c>
      <c r="J81" s="25">
        <v>48</v>
      </c>
    </row>
    <row r="82" spans="1:10" x14ac:dyDescent="0.25">
      <c r="A82" s="24" t="s">
        <v>354</v>
      </c>
      <c r="B82" s="25">
        <v>63</v>
      </c>
      <c r="C82" s="24" t="s">
        <v>192</v>
      </c>
      <c r="D82" s="24" t="s">
        <v>355</v>
      </c>
      <c r="E82" s="26" t="s">
        <v>356</v>
      </c>
      <c r="F82" s="25">
        <v>1</v>
      </c>
      <c r="G82" s="25">
        <v>17.600000000000001</v>
      </c>
      <c r="H82" s="24" t="s">
        <v>33</v>
      </c>
      <c r="I82" s="24" t="s">
        <v>39</v>
      </c>
      <c r="J82" s="25">
        <v>24</v>
      </c>
    </row>
    <row r="83" spans="1:10" x14ac:dyDescent="0.25">
      <c r="A83" s="24" t="s">
        <v>357</v>
      </c>
      <c r="B83" s="25">
        <v>64</v>
      </c>
      <c r="C83" s="24" t="s">
        <v>192</v>
      </c>
      <c r="D83" s="24" t="s">
        <v>358</v>
      </c>
      <c r="E83" s="26" t="s">
        <v>242</v>
      </c>
      <c r="F83" s="25">
        <v>1</v>
      </c>
      <c r="G83" s="25">
        <v>13.15</v>
      </c>
      <c r="H83" s="24" t="s">
        <v>33</v>
      </c>
      <c r="I83" s="24" t="s">
        <v>34</v>
      </c>
      <c r="J83" s="25">
        <v>24</v>
      </c>
    </row>
    <row r="84" spans="1:10" x14ac:dyDescent="0.25">
      <c r="A84" s="24" t="s">
        <v>359</v>
      </c>
      <c r="B84" s="25">
        <v>65</v>
      </c>
      <c r="C84" s="24" t="s">
        <v>192</v>
      </c>
      <c r="D84" s="24" t="s">
        <v>360</v>
      </c>
      <c r="E84" s="26" t="s">
        <v>361</v>
      </c>
      <c r="F84" s="25">
        <v>2</v>
      </c>
      <c r="G84" s="25">
        <v>14.4</v>
      </c>
      <c r="H84" s="24" t="s">
        <v>33</v>
      </c>
      <c r="I84" s="24" t="s">
        <v>34</v>
      </c>
      <c r="J84" s="25">
        <v>48</v>
      </c>
    </row>
    <row r="85" spans="1:10" x14ac:dyDescent="0.25">
      <c r="A85" s="24" t="s">
        <v>362</v>
      </c>
      <c r="B85" s="25">
        <v>66</v>
      </c>
      <c r="C85" s="24" t="s">
        <v>192</v>
      </c>
      <c r="D85" s="24" t="s">
        <v>363</v>
      </c>
      <c r="E85" s="26" t="s">
        <v>364</v>
      </c>
      <c r="F85" s="25">
        <v>1</v>
      </c>
      <c r="G85" s="25">
        <v>9.5</v>
      </c>
      <c r="H85" s="24" t="s">
        <v>33</v>
      </c>
      <c r="I85" s="24" t="s">
        <v>34</v>
      </c>
      <c r="J85" s="25">
        <v>24</v>
      </c>
    </row>
    <row r="86" spans="1:10" x14ac:dyDescent="0.25">
      <c r="A86" s="24" t="s">
        <v>365</v>
      </c>
      <c r="B86" s="25">
        <v>67</v>
      </c>
      <c r="C86" s="24" t="s">
        <v>192</v>
      </c>
      <c r="D86" s="24" t="s">
        <v>366</v>
      </c>
      <c r="E86" s="26" t="s">
        <v>364</v>
      </c>
      <c r="F86" s="25">
        <v>1</v>
      </c>
      <c r="G86" s="25">
        <v>16</v>
      </c>
      <c r="H86" s="24" t="s">
        <v>33</v>
      </c>
      <c r="I86" s="24" t="s">
        <v>34</v>
      </c>
      <c r="J86" s="25">
        <v>24</v>
      </c>
    </row>
    <row r="87" spans="1:10" x14ac:dyDescent="0.25">
      <c r="A87" s="24" t="s">
        <v>367</v>
      </c>
      <c r="B87" s="25">
        <v>68</v>
      </c>
      <c r="C87" s="24" t="s">
        <v>192</v>
      </c>
      <c r="D87" s="24" t="s">
        <v>363</v>
      </c>
      <c r="E87" s="26" t="s">
        <v>364</v>
      </c>
      <c r="F87" s="25">
        <v>1</v>
      </c>
      <c r="G87" s="25">
        <v>9.5</v>
      </c>
      <c r="H87" s="24" t="s">
        <v>33</v>
      </c>
      <c r="I87" s="24" t="s">
        <v>34</v>
      </c>
      <c r="J87" s="25">
        <v>24</v>
      </c>
    </row>
    <row r="88" spans="1:10" x14ac:dyDescent="0.25">
      <c r="A88" s="24" t="s">
        <v>368</v>
      </c>
      <c r="B88" s="25">
        <v>69</v>
      </c>
      <c r="C88" s="24" t="s">
        <v>192</v>
      </c>
      <c r="D88" s="24" t="s">
        <v>369</v>
      </c>
      <c r="E88" s="26" t="s">
        <v>364</v>
      </c>
      <c r="F88" s="25">
        <v>2</v>
      </c>
      <c r="G88" s="25">
        <v>17.850000000000001</v>
      </c>
      <c r="H88" s="24" t="s">
        <v>41</v>
      </c>
      <c r="I88" s="24" t="s">
        <v>48</v>
      </c>
      <c r="J88" s="25">
        <v>48</v>
      </c>
    </row>
    <row r="89" spans="1:10" x14ac:dyDescent="0.25">
      <c r="A89" s="24" t="s">
        <v>370</v>
      </c>
      <c r="B89" s="25">
        <v>70</v>
      </c>
      <c r="C89" s="24" t="s">
        <v>192</v>
      </c>
      <c r="D89" s="24" t="s">
        <v>371</v>
      </c>
      <c r="E89" s="26" t="s">
        <v>364</v>
      </c>
      <c r="F89" s="25">
        <v>3</v>
      </c>
      <c r="G89" s="25">
        <v>31.4</v>
      </c>
      <c r="H89" s="24" t="s">
        <v>41</v>
      </c>
      <c r="I89" s="24" t="s">
        <v>48</v>
      </c>
      <c r="J89" s="25">
        <v>72</v>
      </c>
    </row>
    <row r="90" spans="1:10" x14ac:dyDescent="0.25">
      <c r="A90" s="24" t="s">
        <v>372</v>
      </c>
      <c r="B90" s="25">
        <v>71</v>
      </c>
      <c r="C90" s="24" t="s">
        <v>192</v>
      </c>
      <c r="D90" s="24" t="s">
        <v>373</v>
      </c>
      <c r="E90" s="26" t="s">
        <v>374</v>
      </c>
      <c r="F90" s="25">
        <v>1</v>
      </c>
      <c r="G90" s="25">
        <v>8.1999999999999993</v>
      </c>
      <c r="H90" s="24" t="s">
        <v>41</v>
      </c>
      <c r="I90" s="24" t="s">
        <v>48</v>
      </c>
      <c r="J90" s="25">
        <v>24</v>
      </c>
    </row>
    <row r="91" spans="1:10" x14ac:dyDescent="0.25">
      <c r="A91" s="24" t="s">
        <v>375</v>
      </c>
      <c r="B91" s="25">
        <v>72</v>
      </c>
      <c r="C91" s="24" t="s">
        <v>192</v>
      </c>
      <c r="D91" s="24" t="s">
        <v>376</v>
      </c>
      <c r="E91" s="26" t="s">
        <v>377</v>
      </c>
      <c r="F91" s="25">
        <v>5</v>
      </c>
      <c r="G91" s="25">
        <v>48.8</v>
      </c>
      <c r="H91" s="24" t="s">
        <v>41</v>
      </c>
      <c r="I91" s="24" t="s">
        <v>44</v>
      </c>
      <c r="J91" s="25">
        <v>120</v>
      </c>
    </row>
    <row r="92" spans="1:10" x14ac:dyDescent="0.25">
      <c r="A92" s="24" t="s">
        <v>378</v>
      </c>
      <c r="B92" s="25">
        <v>73</v>
      </c>
      <c r="C92" s="24" t="s">
        <v>192</v>
      </c>
      <c r="D92" s="24" t="s">
        <v>379</v>
      </c>
      <c r="E92" s="26" t="s">
        <v>380</v>
      </c>
      <c r="F92" s="25">
        <v>1</v>
      </c>
      <c r="G92" s="25">
        <v>13.33</v>
      </c>
      <c r="H92" s="24" t="s">
        <v>33</v>
      </c>
      <c r="I92" s="24" t="s">
        <v>34</v>
      </c>
      <c r="J92" s="25">
        <v>24</v>
      </c>
    </row>
    <row r="93" spans="1:10" x14ac:dyDescent="0.25">
      <c r="A93" s="24" t="s">
        <v>381</v>
      </c>
      <c r="B93" s="25">
        <v>74</v>
      </c>
      <c r="C93" s="24" t="s">
        <v>192</v>
      </c>
      <c r="D93" s="24" t="s">
        <v>382</v>
      </c>
      <c r="E93" s="26" t="s">
        <v>383</v>
      </c>
      <c r="F93" s="25">
        <v>1</v>
      </c>
      <c r="G93" s="25">
        <v>15.8</v>
      </c>
      <c r="H93" s="24" t="s">
        <v>33</v>
      </c>
      <c r="I93" s="24" t="s">
        <v>39</v>
      </c>
      <c r="J93" s="25">
        <v>24</v>
      </c>
    </row>
    <row r="94" spans="1:10" x14ac:dyDescent="0.25">
      <c r="A94" s="24" t="s">
        <v>384</v>
      </c>
      <c r="B94" s="25">
        <v>75</v>
      </c>
      <c r="C94" s="24" t="s">
        <v>192</v>
      </c>
      <c r="D94" s="24" t="s">
        <v>385</v>
      </c>
      <c r="E94" s="26" t="s">
        <v>386</v>
      </c>
      <c r="F94" s="25">
        <v>1</v>
      </c>
      <c r="G94" s="25">
        <v>8.1999999999999993</v>
      </c>
      <c r="H94" s="24" t="s">
        <v>33</v>
      </c>
      <c r="I94" s="24" t="s">
        <v>39</v>
      </c>
      <c r="J94" s="25">
        <v>24</v>
      </c>
    </row>
    <row r="95" spans="1:10" x14ac:dyDescent="0.25">
      <c r="A95" s="24" t="s">
        <v>387</v>
      </c>
      <c r="B95" s="25">
        <v>76</v>
      </c>
      <c r="C95" s="24" t="s">
        <v>192</v>
      </c>
      <c r="D95" s="24" t="s">
        <v>388</v>
      </c>
      <c r="E95" s="26" t="s">
        <v>386</v>
      </c>
      <c r="F95" s="25">
        <v>1</v>
      </c>
      <c r="G95" s="25">
        <v>8</v>
      </c>
      <c r="H95" s="24" t="s">
        <v>33</v>
      </c>
      <c r="I95" s="24" t="s">
        <v>39</v>
      </c>
      <c r="J95" s="25">
        <v>24</v>
      </c>
    </row>
    <row r="96" spans="1:10" x14ac:dyDescent="0.25">
      <c r="A96" s="24" t="s">
        <v>389</v>
      </c>
      <c r="B96" s="25">
        <v>77</v>
      </c>
      <c r="C96" s="24" t="s">
        <v>192</v>
      </c>
      <c r="D96" s="24" t="s">
        <v>390</v>
      </c>
      <c r="E96" s="26" t="s">
        <v>391</v>
      </c>
      <c r="F96" s="25">
        <v>1</v>
      </c>
      <c r="G96" s="25">
        <v>8.6</v>
      </c>
      <c r="H96" s="24" t="s">
        <v>41</v>
      </c>
      <c r="I96" s="24" t="s">
        <v>53</v>
      </c>
      <c r="J96" s="25">
        <v>24</v>
      </c>
    </row>
    <row r="97" spans="1:10" x14ac:dyDescent="0.25">
      <c r="A97" s="24" t="s">
        <v>392</v>
      </c>
      <c r="B97" s="25">
        <v>78</v>
      </c>
      <c r="C97" s="24" t="s">
        <v>192</v>
      </c>
      <c r="D97" s="24" t="s">
        <v>393</v>
      </c>
      <c r="E97" s="26" t="s">
        <v>394</v>
      </c>
      <c r="F97" s="25">
        <v>4</v>
      </c>
      <c r="G97" s="25">
        <v>51.32</v>
      </c>
      <c r="H97" s="24" t="s">
        <v>33</v>
      </c>
      <c r="I97" s="24" t="s">
        <v>34</v>
      </c>
      <c r="J97" s="25">
        <v>96</v>
      </c>
    </row>
    <row r="98" spans="1:10" x14ac:dyDescent="0.25">
      <c r="A98" s="24" t="s">
        <v>395</v>
      </c>
      <c r="B98" s="25">
        <v>79</v>
      </c>
      <c r="C98" s="24" t="s">
        <v>192</v>
      </c>
      <c r="D98" s="24" t="s">
        <v>396</v>
      </c>
      <c r="E98" s="26" t="s">
        <v>397</v>
      </c>
      <c r="F98" s="25">
        <v>1</v>
      </c>
      <c r="G98" s="25">
        <v>16</v>
      </c>
      <c r="H98" s="24" t="s">
        <v>33</v>
      </c>
      <c r="I98" s="24" t="s">
        <v>34</v>
      </c>
      <c r="J98" s="25">
        <v>24</v>
      </c>
    </row>
    <row r="99" spans="1:10" x14ac:dyDescent="0.25">
      <c r="A99" s="24" t="s">
        <v>398</v>
      </c>
      <c r="B99" s="25">
        <v>80</v>
      </c>
      <c r="C99" s="24" t="s">
        <v>192</v>
      </c>
      <c r="D99" s="24" t="s">
        <v>399</v>
      </c>
      <c r="E99" s="26" t="s">
        <v>397</v>
      </c>
      <c r="F99" s="25">
        <v>1</v>
      </c>
      <c r="G99" s="25">
        <v>31.6</v>
      </c>
      <c r="H99" s="24" t="s">
        <v>41</v>
      </c>
      <c r="I99" s="24" t="s">
        <v>50</v>
      </c>
      <c r="J99" s="25">
        <v>60</v>
      </c>
    </row>
    <row r="100" spans="1:10" x14ac:dyDescent="0.25">
      <c r="A100" s="24" t="s">
        <v>398</v>
      </c>
      <c r="B100" s="25">
        <v>80</v>
      </c>
      <c r="C100" s="24" t="s">
        <v>192</v>
      </c>
      <c r="D100" s="24" t="s">
        <v>399</v>
      </c>
      <c r="E100" s="26" t="s">
        <v>397</v>
      </c>
      <c r="F100" s="25">
        <v>1</v>
      </c>
      <c r="G100" s="25">
        <v>0</v>
      </c>
      <c r="H100" s="27" t="s">
        <v>36</v>
      </c>
      <c r="I100" s="27" t="s">
        <v>36</v>
      </c>
      <c r="J100" s="25">
        <v>5</v>
      </c>
    </row>
    <row r="101" spans="1:10" x14ac:dyDescent="0.25">
      <c r="A101" s="24" t="s">
        <v>400</v>
      </c>
      <c r="B101" s="25">
        <v>81</v>
      </c>
      <c r="C101" s="24" t="s">
        <v>192</v>
      </c>
      <c r="D101" s="24" t="s">
        <v>401</v>
      </c>
      <c r="E101" s="26" t="s">
        <v>402</v>
      </c>
      <c r="F101" s="25">
        <v>2</v>
      </c>
      <c r="G101" s="25">
        <v>6.2</v>
      </c>
      <c r="H101" s="27" t="s">
        <v>36</v>
      </c>
      <c r="I101" s="27" t="s">
        <v>36</v>
      </c>
      <c r="J101" s="25">
        <v>10</v>
      </c>
    </row>
    <row r="102" spans="1:10" x14ac:dyDescent="0.25">
      <c r="A102" s="24" t="s">
        <v>403</v>
      </c>
      <c r="B102" s="25">
        <v>82</v>
      </c>
      <c r="C102" s="24" t="s">
        <v>192</v>
      </c>
      <c r="D102" s="24" t="s">
        <v>404</v>
      </c>
      <c r="E102" s="26" t="s">
        <v>405</v>
      </c>
      <c r="F102" s="25">
        <v>1</v>
      </c>
      <c r="G102" s="25">
        <v>20.3</v>
      </c>
      <c r="H102" s="24" t="s">
        <v>41</v>
      </c>
      <c r="I102" s="24" t="s">
        <v>44</v>
      </c>
      <c r="J102" s="25">
        <v>24</v>
      </c>
    </row>
    <row r="103" spans="1:10" x14ac:dyDescent="0.25">
      <c r="A103" s="24" t="s">
        <v>406</v>
      </c>
      <c r="B103" s="25">
        <v>83</v>
      </c>
      <c r="C103" s="24" t="s">
        <v>192</v>
      </c>
      <c r="D103" s="24" t="s">
        <v>407</v>
      </c>
      <c r="E103" s="26" t="s">
        <v>408</v>
      </c>
      <c r="F103" s="25">
        <v>1</v>
      </c>
      <c r="G103" s="25">
        <v>12.09</v>
      </c>
      <c r="H103" s="24" t="s">
        <v>33</v>
      </c>
      <c r="I103" s="24" t="s">
        <v>39</v>
      </c>
      <c r="J103" s="25">
        <v>24</v>
      </c>
    </row>
    <row r="104" spans="1:10" x14ac:dyDescent="0.25">
      <c r="A104" s="24" t="s">
        <v>409</v>
      </c>
      <c r="B104" s="25">
        <v>84</v>
      </c>
      <c r="C104" s="24" t="s">
        <v>192</v>
      </c>
      <c r="D104" s="24" t="s">
        <v>410</v>
      </c>
      <c r="E104" s="26" t="s">
        <v>411</v>
      </c>
      <c r="F104" s="25">
        <v>1</v>
      </c>
      <c r="G104" s="25">
        <v>13.2</v>
      </c>
      <c r="H104" s="24" t="s">
        <v>33</v>
      </c>
      <c r="I104" s="24" t="s">
        <v>39</v>
      </c>
      <c r="J104" s="25">
        <v>24</v>
      </c>
    </row>
    <row r="105" spans="1:10" x14ac:dyDescent="0.25">
      <c r="A105" s="24" t="s">
        <v>412</v>
      </c>
      <c r="B105" s="25">
        <v>85</v>
      </c>
      <c r="C105" s="24" t="s">
        <v>192</v>
      </c>
      <c r="D105" s="24" t="s">
        <v>413</v>
      </c>
      <c r="E105" s="26" t="s">
        <v>414</v>
      </c>
      <c r="F105" s="25">
        <v>1</v>
      </c>
      <c r="G105" s="25">
        <v>3.03</v>
      </c>
      <c r="H105" s="24" t="s">
        <v>33</v>
      </c>
      <c r="I105" s="24" t="s">
        <v>34</v>
      </c>
      <c r="J105" s="25">
        <v>24</v>
      </c>
    </row>
    <row r="106" spans="1:10" x14ac:dyDescent="0.25">
      <c r="A106" s="24" t="s">
        <v>415</v>
      </c>
      <c r="B106" s="25">
        <v>86</v>
      </c>
      <c r="C106" s="24" t="s">
        <v>192</v>
      </c>
      <c r="D106" s="24" t="s">
        <v>416</v>
      </c>
      <c r="E106" s="26" t="s">
        <v>417</v>
      </c>
      <c r="F106" s="25">
        <v>1</v>
      </c>
      <c r="G106" s="25">
        <v>25.47</v>
      </c>
      <c r="H106" s="24" t="s">
        <v>33</v>
      </c>
      <c r="I106" s="24" t="s">
        <v>34</v>
      </c>
      <c r="J106" s="25">
        <v>24</v>
      </c>
    </row>
    <row r="107" spans="1:10" x14ac:dyDescent="0.25">
      <c r="A107" s="24" t="s">
        <v>418</v>
      </c>
      <c r="B107" s="25">
        <v>87</v>
      </c>
      <c r="C107" s="24" t="s">
        <v>192</v>
      </c>
      <c r="D107" s="24" t="s">
        <v>419</v>
      </c>
      <c r="E107" s="26" t="s">
        <v>420</v>
      </c>
      <c r="F107" s="25">
        <v>1</v>
      </c>
      <c r="G107" s="25">
        <v>13.62</v>
      </c>
      <c r="H107" s="24" t="s">
        <v>33</v>
      </c>
      <c r="I107" s="24" t="s">
        <v>34</v>
      </c>
      <c r="J107" s="25">
        <v>24</v>
      </c>
    </row>
    <row r="108" spans="1:10" x14ac:dyDescent="0.25">
      <c r="A108" s="24" t="s">
        <v>421</v>
      </c>
      <c r="B108" s="25">
        <v>88</v>
      </c>
      <c r="C108" s="24" t="s">
        <v>192</v>
      </c>
      <c r="D108" s="24" t="s">
        <v>422</v>
      </c>
      <c r="E108" s="26" t="s">
        <v>169</v>
      </c>
      <c r="F108" s="25">
        <v>1</v>
      </c>
      <c r="G108" s="25">
        <v>5.4</v>
      </c>
      <c r="H108" s="24" t="s">
        <v>33</v>
      </c>
      <c r="I108" s="24" t="s">
        <v>34</v>
      </c>
      <c r="J108" s="25">
        <v>24</v>
      </c>
    </row>
    <row r="109" spans="1:10" x14ac:dyDescent="0.25">
      <c r="A109" s="24" t="s">
        <v>423</v>
      </c>
      <c r="B109" s="25">
        <v>89</v>
      </c>
      <c r="C109" s="24" t="s">
        <v>192</v>
      </c>
      <c r="D109" s="24" t="s">
        <v>424</v>
      </c>
      <c r="E109" s="26" t="s">
        <v>425</v>
      </c>
      <c r="F109" s="25">
        <v>2</v>
      </c>
      <c r="G109" s="25">
        <v>19</v>
      </c>
      <c r="H109" s="24" t="s">
        <v>33</v>
      </c>
      <c r="I109" s="24" t="s">
        <v>34</v>
      </c>
      <c r="J109" s="25">
        <v>48</v>
      </c>
    </row>
    <row r="110" spans="1:10" x14ac:dyDescent="0.25">
      <c r="A110" s="24" t="s">
        <v>426</v>
      </c>
      <c r="B110" s="25">
        <v>90</v>
      </c>
      <c r="C110" s="24" t="s">
        <v>192</v>
      </c>
      <c r="D110" s="24" t="s">
        <v>427</v>
      </c>
      <c r="E110" s="26" t="s">
        <v>428</v>
      </c>
      <c r="F110" s="25">
        <v>1</v>
      </c>
      <c r="G110" s="25">
        <v>8</v>
      </c>
      <c r="H110" s="24" t="s">
        <v>33</v>
      </c>
      <c r="I110" s="24" t="s">
        <v>34</v>
      </c>
      <c r="J110" s="25">
        <v>24</v>
      </c>
    </row>
    <row r="111" spans="1:10" x14ac:dyDescent="0.25">
      <c r="A111" s="24" t="s">
        <v>429</v>
      </c>
      <c r="B111" s="25">
        <v>91</v>
      </c>
      <c r="C111" s="24" t="s">
        <v>192</v>
      </c>
      <c r="D111" s="24" t="s">
        <v>430</v>
      </c>
      <c r="E111" s="26" t="s">
        <v>431</v>
      </c>
      <c r="F111" s="25">
        <v>1</v>
      </c>
      <c r="G111" s="25">
        <v>2.78</v>
      </c>
      <c r="H111" s="24" t="s">
        <v>33</v>
      </c>
      <c r="I111" s="24" t="s">
        <v>34</v>
      </c>
      <c r="J111" s="25">
        <v>24</v>
      </c>
    </row>
    <row r="112" spans="1:10" x14ac:dyDescent="0.25">
      <c r="A112" s="24" t="s">
        <v>432</v>
      </c>
      <c r="B112" s="25">
        <v>92</v>
      </c>
      <c r="C112" s="24" t="s">
        <v>192</v>
      </c>
      <c r="D112" s="24" t="s">
        <v>419</v>
      </c>
      <c r="E112" s="26" t="s">
        <v>431</v>
      </c>
      <c r="F112" s="25">
        <v>1</v>
      </c>
      <c r="G112" s="25">
        <v>16.46</v>
      </c>
      <c r="H112" s="24" t="s">
        <v>33</v>
      </c>
      <c r="I112" s="24" t="s">
        <v>34</v>
      </c>
      <c r="J112" s="25">
        <v>24</v>
      </c>
    </row>
    <row r="113" spans="1:10" x14ac:dyDescent="0.25">
      <c r="A113" s="24" t="s">
        <v>433</v>
      </c>
      <c r="B113" s="25">
        <v>93</v>
      </c>
      <c r="C113" s="24" t="s">
        <v>192</v>
      </c>
      <c r="D113" s="24" t="s">
        <v>419</v>
      </c>
      <c r="E113" s="26" t="s">
        <v>434</v>
      </c>
      <c r="F113" s="25">
        <v>1</v>
      </c>
      <c r="G113" s="25">
        <v>16.54</v>
      </c>
      <c r="H113" s="24" t="s">
        <v>33</v>
      </c>
      <c r="I113" s="24" t="s">
        <v>34</v>
      </c>
      <c r="J113" s="25">
        <v>24</v>
      </c>
    </row>
    <row r="114" spans="1:10" x14ac:dyDescent="0.25">
      <c r="A114" s="24" t="s">
        <v>435</v>
      </c>
      <c r="B114" s="25">
        <v>94</v>
      </c>
      <c r="C114" s="24" t="s">
        <v>192</v>
      </c>
      <c r="D114" s="24" t="s">
        <v>436</v>
      </c>
      <c r="E114" s="26" t="s">
        <v>437</v>
      </c>
      <c r="F114" s="25">
        <v>1</v>
      </c>
      <c r="G114" s="25">
        <v>8.9</v>
      </c>
      <c r="H114" s="24" t="s">
        <v>33</v>
      </c>
      <c r="I114" s="24" t="s">
        <v>34</v>
      </c>
      <c r="J114" s="25">
        <v>24</v>
      </c>
    </row>
    <row r="115" spans="1:10" x14ac:dyDescent="0.25">
      <c r="A115" s="24" t="s">
        <v>438</v>
      </c>
      <c r="B115" s="25">
        <v>95</v>
      </c>
      <c r="C115" s="24" t="s">
        <v>192</v>
      </c>
      <c r="D115" s="24" t="s">
        <v>439</v>
      </c>
      <c r="E115" s="26" t="s">
        <v>440</v>
      </c>
      <c r="F115" s="25">
        <v>1</v>
      </c>
      <c r="G115" s="25">
        <v>7.2</v>
      </c>
      <c r="H115" s="24" t="s">
        <v>33</v>
      </c>
      <c r="I115" s="24" t="s">
        <v>34</v>
      </c>
      <c r="J115" s="25">
        <v>24</v>
      </c>
    </row>
    <row r="116" spans="1:10" x14ac:dyDescent="0.25">
      <c r="A116" s="24" t="s">
        <v>441</v>
      </c>
      <c r="B116" s="25">
        <v>96</v>
      </c>
      <c r="C116" s="24" t="s">
        <v>192</v>
      </c>
      <c r="D116" s="24" t="s">
        <v>442</v>
      </c>
      <c r="E116" s="26" t="s">
        <v>443</v>
      </c>
      <c r="F116" s="25">
        <v>1</v>
      </c>
      <c r="G116" s="25">
        <v>16.8</v>
      </c>
      <c r="H116" s="24" t="s">
        <v>33</v>
      </c>
      <c r="I116" s="24" t="s">
        <v>34</v>
      </c>
      <c r="J116" s="25">
        <v>24</v>
      </c>
    </row>
    <row r="117" spans="1:10" x14ac:dyDescent="0.25">
      <c r="A117" s="24" t="s">
        <v>444</v>
      </c>
      <c r="B117" s="25">
        <v>97</v>
      </c>
      <c r="C117" s="24" t="s">
        <v>192</v>
      </c>
      <c r="D117" s="24" t="s">
        <v>445</v>
      </c>
      <c r="E117" s="26" t="s">
        <v>446</v>
      </c>
      <c r="F117" s="25">
        <v>1</v>
      </c>
      <c r="G117" s="25">
        <v>26</v>
      </c>
      <c r="H117" s="24" t="s">
        <v>33</v>
      </c>
      <c r="I117" s="24" t="s">
        <v>34</v>
      </c>
      <c r="J117" s="25">
        <v>24</v>
      </c>
    </row>
    <row r="118" spans="1:10" x14ac:dyDescent="0.25">
      <c r="A118" s="24" t="s">
        <v>447</v>
      </c>
      <c r="B118" s="25">
        <v>98</v>
      </c>
      <c r="C118" s="24" t="s">
        <v>192</v>
      </c>
      <c r="D118" s="24" t="s">
        <v>448</v>
      </c>
      <c r="E118" s="26" t="s">
        <v>440</v>
      </c>
      <c r="F118" s="25">
        <v>1</v>
      </c>
      <c r="G118" s="25">
        <v>0.245</v>
      </c>
      <c r="H118" s="27" t="s">
        <v>36</v>
      </c>
      <c r="I118" s="27" t="s">
        <v>36</v>
      </c>
      <c r="J118" s="25">
        <v>5</v>
      </c>
    </row>
    <row r="119" spans="1:10" x14ac:dyDescent="0.25">
      <c r="A119" s="24" t="s">
        <v>449</v>
      </c>
      <c r="B119" s="25">
        <v>99</v>
      </c>
      <c r="C119" s="24" t="s">
        <v>192</v>
      </c>
      <c r="D119" s="24" t="s">
        <v>450</v>
      </c>
      <c r="E119" s="26" t="s">
        <v>451</v>
      </c>
      <c r="F119" s="25">
        <v>1</v>
      </c>
      <c r="G119" s="25">
        <v>13.94</v>
      </c>
      <c r="H119" s="24" t="s">
        <v>33</v>
      </c>
      <c r="I119" s="24" t="s">
        <v>34</v>
      </c>
      <c r="J119" s="25">
        <v>24</v>
      </c>
    </row>
    <row r="120" spans="1:10" x14ac:dyDescent="0.25">
      <c r="A120" s="24" t="s">
        <v>452</v>
      </c>
      <c r="B120" s="25">
        <v>100</v>
      </c>
      <c r="C120" s="24" t="s">
        <v>192</v>
      </c>
      <c r="D120" s="24" t="s">
        <v>453</v>
      </c>
      <c r="E120" s="26" t="s">
        <v>454</v>
      </c>
      <c r="F120" s="25">
        <v>1</v>
      </c>
      <c r="G120" s="25">
        <v>13.42</v>
      </c>
      <c r="H120" s="24" t="s">
        <v>33</v>
      </c>
      <c r="I120" s="24" t="s">
        <v>34</v>
      </c>
      <c r="J120" s="25">
        <v>24</v>
      </c>
    </row>
    <row r="121" spans="1:10" x14ac:dyDescent="0.25">
      <c r="A121" s="24" t="s">
        <v>455</v>
      </c>
      <c r="B121" s="25">
        <v>101</v>
      </c>
      <c r="C121" s="24" t="s">
        <v>192</v>
      </c>
      <c r="D121" s="24" t="s">
        <v>456</v>
      </c>
      <c r="E121" s="26" t="s">
        <v>391</v>
      </c>
      <c r="F121" s="25">
        <v>1</v>
      </c>
      <c r="G121" s="25">
        <v>2.4900000000000002</v>
      </c>
      <c r="H121" s="24" t="s">
        <v>33</v>
      </c>
      <c r="I121" s="24" t="s">
        <v>34</v>
      </c>
      <c r="J121" s="25">
        <v>24</v>
      </c>
    </row>
    <row r="122" spans="1:10" x14ac:dyDescent="0.25">
      <c r="A122" s="24" t="s">
        <v>457</v>
      </c>
      <c r="B122" s="25">
        <v>102</v>
      </c>
      <c r="C122" s="24" t="s">
        <v>192</v>
      </c>
      <c r="D122" s="24" t="s">
        <v>458</v>
      </c>
      <c r="E122" s="26" t="s">
        <v>459</v>
      </c>
      <c r="F122" s="25">
        <v>1</v>
      </c>
      <c r="G122" s="25">
        <v>12.67</v>
      </c>
      <c r="H122" s="24" t="s">
        <v>33</v>
      </c>
      <c r="I122" s="24" t="s">
        <v>34</v>
      </c>
      <c r="J122" s="25">
        <v>24</v>
      </c>
    </row>
    <row r="123" spans="1:10" x14ac:dyDescent="0.25">
      <c r="A123" s="24" t="s">
        <v>460</v>
      </c>
      <c r="B123" s="25">
        <v>52</v>
      </c>
      <c r="C123" s="24" t="s">
        <v>192</v>
      </c>
      <c r="D123" s="24" t="s">
        <v>461</v>
      </c>
      <c r="E123" s="26" t="s">
        <v>38</v>
      </c>
      <c r="F123" s="25">
        <v>80</v>
      </c>
      <c r="G123" s="25">
        <v>1276</v>
      </c>
      <c r="H123" s="27" t="s">
        <v>36</v>
      </c>
      <c r="I123" s="27" t="s">
        <v>36</v>
      </c>
      <c r="J123" s="25">
        <v>240</v>
      </c>
    </row>
    <row r="124" spans="1:10" x14ac:dyDescent="0.25">
      <c r="A124" s="24" t="s">
        <v>462</v>
      </c>
      <c r="B124" s="25">
        <v>103</v>
      </c>
      <c r="C124" s="24" t="s">
        <v>192</v>
      </c>
      <c r="D124" s="24" t="s">
        <v>463</v>
      </c>
      <c r="E124" s="26" t="s">
        <v>464</v>
      </c>
      <c r="F124" s="25">
        <v>2</v>
      </c>
      <c r="G124" s="25">
        <v>18</v>
      </c>
      <c r="H124" s="24" t="s">
        <v>33</v>
      </c>
      <c r="I124" s="24" t="s">
        <v>34</v>
      </c>
      <c r="J124" s="25">
        <v>48</v>
      </c>
    </row>
    <row r="125" spans="1:10" x14ac:dyDescent="0.25">
      <c r="A125" s="24" t="s">
        <v>465</v>
      </c>
      <c r="B125" s="25">
        <v>104</v>
      </c>
      <c r="C125" s="24" t="s">
        <v>192</v>
      </c>
      <c r="D125" s="24" t="s">
        <v>466</v>
      </c>
      <c r="E125" s="26" t="s">
        <v>467</v>
      </c>
      <c r="F125" s="25">
        <v>1</v>
      </c>
      <c r="G125" s="25">
        <v>3.97</v>
      </c>
      <c r="H125" s="24" t="s">
        <v>41</v>
      </c>
      <c r="I125" s="24" t="s">
        <v>48</v>
      </c>
      <c r="J125" s="25">
        <v>24</v>
      </c>
    </row>
    <row r="126" spans="1:10" x14ac:dyDescent="0.25">
      <c r="A126" s="24" t="s">
        <v>465</v>
      </c>
      <c r="B126" s="25">
        <v>104</v>
      </c>
      <c r="C126" s="24" t="s">
        <v>192</v>
      </c>
      <c r="D126" s="24" t="s">
        <v>466</v>
      </c>
      <c r="E126" s="26" t="s">
        <v>467</v>
      </c>
      <c r="F126" s="25">
        <v>1</v>
      </c>
      <c r="G126" s="25">
        <v>0</v>
      </c>
      <c r="H126" s="27" t="s">
        <v>36</v>
      </c>
      <c r="I126" s="27" t="s">
        <v>36</v>
      </c>
      <c r="J126" s="25">
        <v>5</v>
      </c>
    </row>
    <row r="127" spans="1:10" x14ac:dyDescent="0.25">
      <c r="A127" s="24" t="s">
        <v>468</v>
      </c>
      <c r="B127" s="25">
        <v>105</v>
      </c>
      <c r="C127" s="24" t="s">
        <v>192</v>
      </c>
      <c r="D127" s="24" t="s">
        <v>469</v>
      </c>
      <c r="E127" s="26" t="s">
        <v>206</v>
      </c>
      <c r="F127" s="25">
        <v>1</v>
      </c>
      <c r="G127" s="25">
        <v>26</v>
      </c>
      <c r="H127" s="24" t="s">
        <v>41</v>
      </c>
      <c r="I127" s="24" t="s">
        <v>44</v>
      </c>
      <c r="J127" s="25">
        <v>24</v>
      </c>
    </row>
    <row r="128" spans="1:10" x14ac:dyDescent="0.25">
      <c r="A128" s="24" t="s">
        <v>470</v>
      </c>
      <c r="B128" s="25">
        <v>111</v>
      </c>
      <c r="C128" s="24" t="s">
        <v>471</v>
      </c>
      <c r="D128" s="24" t="s">
        <v>472</v>
      </c>
      <c r="E128" s="26" t="s">
        <v>473</v>
      </c>
      <c r="F128" s="25">
        <v>853</v>
      </c>
      <c r="G128" s="25">
        <v>971.13699999999994</v>
      </c>
      <c r="H128" s="28" t="s">
        <v>119</v>
      </c>
      <c r="I128" s="28" t="s">
        <v>119</v>
      </c>
      <c r="J128" s="25">
        <v>605.63</v>
      </c>
    </row>
    <row r="129" spans="1:10" x14ac:dyDescent="0.25">
      <c r="A129" s="24" t="s">
        <v>474</v>
      </c>
      <c r="B129" s="25">
        <v>112</v>
      </c>
      <c r="C129" s="24" t="s">
        <v>471</v>
      </c>
      <c r="D129" s="24" t="s">
        <v>475</v>
      </c>
      <c r="E129" s="26" t="s">
        <v>473</v>
      </c>
      <c r="F129" s="25">
        <v>1184</v>
      </c>
      <c r="G129" s="25">
        <v>953.20799999999997</v>
      </c>
      <c r="H129" s="28" t="s">
        <v>119</v>
      </c>
      <c r="I129" s="28" t="s">
        <v>119</v>
      </c>
      <c r="J129" s="25">
        <v>840.64</v>
      </c>
    </row>
    <row r="130" spans="1:10" x14ac:dyDescent="0.25">
      <c r="A130" s="24" t="s">
        <v>476</v>
      </c>
      <c r="B130" s="25">
        <v>119</v>
      </c>
      <c r="C130" s="24" t="s">
        <v>471</v>
      </c>
      <c r="D130" s="24" t="s">
        <v>477</v>
      </c>
      <c r="E130" s="26" t="s">
        <v>478</v>
      </c>
      <c r="F130" s="25">
        <v>163</v>
      </c>
      <c r="G130" s="25">
        <v>147.667</v>
      </c>
      <c r="H130" s="28" t="s">
        <v>119</v>
      </c>
      <c r="I130" s="28" t="s">
        <v>119</v>
      </c>
      <c r="J130" s="25">
        <v>115.72999999999999</v>
      </c>
    </row>
    <row r="131" spans="1:10" x14ac:dyDescent="0.25">
      <c r="A131" s="24" t="s">
        <v>479</v>
      </c>
      <c r="B131" s="25">
        <v>123</v>
      </c>
      <c r="C131" s="24" t="s">
        <v>471</v>
      </c>
      <c r="D131" s="24" t="s">
        <v>480</v>
      </c>
      <c r="E131" s="26" t="s">
        <v>38</v>
      </c>
      <c r="F131" s="25">
        <v>479</v>
      </c>
      <c r="G131" s="25">
        <v>787.50702000000001</v>
      </c>
      <c r="H131" s="28" t="s">
        <v>119</v>
      </c>
      <c r="I131" s="28" t="s">
        <v>119</v>
      </c>
      <c r="J131" s="25">
        <v>340.09</v>
      </c>
    </row>
    <row r="132" spans="1:10" x14ac:dyDescent="0.25">
      <c r="A132" s="24" t="s">
        <v>481</v>
      </c>
      <c r="B132" s="25">
        <v>113</v>
      </c>
      <c r="C132" s="24" t="s">
        <v>471</v>
      </c>
      <c r="D132" s="24" t="s">
        <v>482</v>
      </c>
      <c r="E132" s="26" t="s">
        <v>483</v>
      </c>
      <c r="F132" s="25">
        <v>237</v>
      </c>
      <c r="G132" s="25">
        <v>1152.32</v>
      </c>
      <c r="H132" s="29" t="s">
        <v>484</v>
      </c>
      <c r="I132" s="29" t="s">
        <v>484</v>
      </c>
      <c r="J132" s="25">
        <v>135</v>
      </c>
    </row>
    <row r="133" spans="1:10" x14ac:dyDescent="0.25">
      <c r="A133" s="24" t="s">
        <v>485</v>
      </c>
      <c r="B133" s="25">
        <v>106</v>
      </c>
      <c r="C133" s="24" t="s">
        <v>471</v>
      </c>
      <c r="D133" s="24" t="s">
        <v>111</v>
      </c>
      <c r="E133" s="26" t="s">
        <v>486</v>
      </c>
      <c r="F133" s="25">
        <v>578</v>
      </c>
      <c r="G133" s="25">
        <v>3517.76</v>
      </c>
      <c r="H133" s="30" t="s">
        <v>31</v>
      </c>
      <c r="I133" s="30" t="s">
        <v>31</v>
      </c>
      <c r="J133" s="25">
        <v>364.14</v>
      </c>
    </row>
    <row r="134" spans="1:10" x14ac:dyDescent="0.25">
      <c r="A134" s="24" t="s">
        <v>487</v>
      </c>
      <c r="B134" s="25">
        <v>107</v>
      </c>
      <c r="C134" s="24" t="s">
        <v>471</v>
      </c>
      <c r="D134" s="24" t="s">
        <v>488</v>
      </c>
      <c r="E134" s="26" t="s">
        <v>489</v>
      </c>
      <c r="F134" s="25">
        <v>77</v>
      </c>
      <c r="G134" s="25">
        <v>541.50699999999995</v>
      </c>
      <c r="H134" s="30" t="s">
        <v>31</v>
      </c>
      <c r="I134" s="30" t="s">
        <v>31</v>
      </c>
      <c r="J134" s="25">
        <v>48.51</v>
      </c>
    </row>
    <row r="135" spans="1:10" x14ac:dyDescent="0.25">
      <c r="A135" s="24" t="s">
        <v>490</v>
      </c>
      <c r="B135" s="25">
        <v>108</v>
      </c>
      <c r="C135" s="24" t="s">
        <v>471</v>
      </c>
      <c r="D135" s="24" t="s">
        <v>491</v>
      </c>
      <c r="E135" s="26" t="s">
        <v>113</v>
      </c>
      <c r="F135" s="25">
        <v>39</v>
      </c>
      <c r="G135" s="25">
        <v>260.21800000000002</v>
      </c>
      <c r="H135" s="30" t="s">
        <v>31</v>
      </c>
      <c r="I135" s="30" t="s">
        <v>31</v>
      </c>
      <c r="J135" s="25">
        <v>24.57</v>
      </c>
    </row>
    <row r="136" spans="1:10" x14ac:dyDescent="0.25">
      <c r="A136" s="24" t="s">
        <v>492</v>
      </c>
      <c r="B136" s="25">
        <v>109</v>
      </c>
      <c r="C136" s="24" t="s">
        <v>471</v>
      </c>
      <c r="D136" s="24" t="s">
        <v>493</v>
      </c>
      <c r="E136" s="26" t="s">
        <v>494</v>
      </c>
      <c r="F136" s="25">
        <v>126</v>
      </c>
      <c r="G136" s="25">
        <v>946.81399999999996</v>
      </c>
      <c r="H136" s="30" t="s">
        <v>31</v>
      </c>
      <c r="I136" s="30" t="s">
        <v>31</v>
      </c>
      <c r="J136" s="25">
        <v>79.38</v>
      </c>
    </row>
    <row r="137" spans="1:10" x14ac:dyDescent="0.25">
      <c r="A137" s="24" t="s">
        <v>495</v>
      </c>
      <c r="B137" s="25">
        <v>110</v>
      </c>
      <c r="C137" s="24" t="s">
        <v>471</v>
      </c>
      <c r="D137" s="24" t="s">
        <v>491</v>
      </c>
      <c r="E137" s="26" t="s">
        <v>113</v>
      </c>
      <c r="F137" s="25">
        <v>33</v>
      </c>
      <c r="G137" s="25">
        <v>258.06799999999998</v>
      </c>
      <c r="H137" s="30" t="s">
        <v>31</v>
      </c>
      <c r="I137" s="30" t="s">
        <v>31</v>
      </c>
      <c r="J137" s="25">
        <v>20.79</v>
      </c>
    </row>
    <row r="138" spans="1:10" x14ac:dyDescent="0.25">
      <c r="A138" s="24" t="s">
        <v>496</v>
      </c>
      <c r="B138" s="25">
        <v>114</v>
      </c>
      <c r="C138" s="24" t="s">
        <v>471</v>
      </c>
      <c r="D138" s="24" t="s">
        <v>497</v>
      </c>
      <c r="E138" s="26" t="s">
        <v>498</v>
      </c>
      <c r="F138" s="25">
        <v>290</v>
      </c>
      <c r="G138" s="25">
        <v>1660.7760000000001</v>
      </c>
      <c r="H138" s="30" t="s">
        <v>31</v>
      </c>
      <c r="I138" s="30" t="s">
        <v>31</v>
      </c>
      <c r="J138" s="25">
        <v>182.7</v>
      </c>
    </row>
    <row r="139" spans="1:10" x14ac:dyDescent="0.25">
      <c r="A139" s="24" t="s">
        <v>499</v>
      </c>
      <c r="B139" s="25">
        <v>115</v>
      </c>
      <c r="C139" s="24" t="s">
        <v>471</v>
      </c>
      <c r="D139" s="24" t="s">
        <v>500</v>
      </c>
      <c r="E139" s="26" t="s">
        <v>501</v>
      </c>
      <c r="F139" s="25">
        <v>152</v>
      </c>
      <c r="G139" s="25">
        <v>1233.395</v>
      </c>
      <c r="H139" s="30" t="s">
        <v>31</v>
      </c>
      <c r="I139" s="30" t="s">
        <v>31</v>
      </c>
      <c r="J139" s="25">
        <v>95.76</v>
      </c>
    </row>
    <row r="140" spans="1:10" x14ac:dyDescent="0.25">
      <c r="A140" s="24" t="s">
        <v>502</v>
      </c>
      <c r="B140" s="25">
        <v>116</v>
      </c>
      <c r="C140" s="24" t="s">
        <v>471</v>
      </c>
      <c r="D140" s="24" t="s">
        <v>503</v>
      </c>
      <c r="E140" s="26" t="s">
        <v>498</v>
      </c>
      <c r="F140" s="25">
        <v>179</v>
      </c>
      <c r="G140" s="25">
        <v>1144.3979999999999</v>
      </c>
      <c r="H140" s="30" t="s">
        <v>31</v>
      </c>
      <c r="I140" s="30" t="s">
        <v>31</v>
      </c>
      <c r="J140" s="25">
        <v>112.77</v>
      </c>
    </row>
    <row r="141" spans="1:10" x14ac:dyDescent="0.25">
      <c r="A141" s="24" t="s">
        <v>504</v>
      </c>
      <c r="B141" s="25">
        <v>117</v>
      </c>
      <c r="C141" s="24" t="s">
        <v>471</v>
      </c>
      <c r="D141" s="24" t="s">
        <v>503</v>
      </c>
      <c r="E141" s="26" t="s">
        <v>498</v>
      </c>
      <c r="F141" s="25">
        <v>179</v>
      </c>
      <c r="G141" s="25">
        <v>1150.25</v>
      </c>
      <c r="H141" s="30" t="s">
        <v>31</v>
      </c>
      <c r="I141" s="30" t="s">
        <v>31</v>
      </c>
      <c r="J141" s="25">
        <v>112.77</v>
      </c>
    </row>
    <row r="142" spans="1:10" x14ac:dyDescent="0.25">
      <c r="A142" s="24" t="s">
        <v>505</v>
      </c>
      <c r="B142" s="25">
        <v>118</v>
      </c>
      <c r="C142" s="24" t="s">
        <v>471</v>
      </c>
      <c r="D142" s="24" t="s">
        <v>503</v>
      </c>
      <c r="E142" s="26" t="s">
        <v>498</v>
      </c>
      <c r="F142" s="25">
        <v>180</v>
      </c>
      <c r="G142" s="25">
        <v>1157.6579999999999</v>
      </c>
      <c r="H142" s="30" t="s">
        <v>31</v>
      </c>
      <c r="I142" s="30" t="s">
        <v>31</v>
      </c>
      <c r="J142" s="25">
        <v>113.4</v>
      </c>
    </row>
    <row r="143" spans="1:10" x14ac:dyDescent="0.25">
      <c r="A143" s="24" t="s">
        <v>506</v>
      </c>
      <c r="B143" s="25">
        <v>120</v>
      </c>
      <c r="C143" s="24" t="s">
        <v>471</v>
      </c>
      <c r="D143" s="24" t="s">
        <v>507</v>
      </c>
      <c r="E143" s="26" t="s">
        <v>508</v>
      </c>
      <c r="F143" s="25">
        <v>55</v>
      </c>
      <c r="G143" s="25">
        <v>353.16</v>
      </c>
      <c r="H143" s="30" t="s">
        <v>31</v>
      </c>
      <c r="I143" s="30" t="s">
        <v>31</v>
      </c>
      <c r="J143" s="25">
        <v>34.65</v>
      </c>
    </row>
    <row r="144" spans="1:10" x14ac:dyDescent="0.25">
      <c r="A144" s="24" t="s">
        <v>509</v>
      </c>
      <c r="B144" s="25">
        <v>121</v>
      </c>
      <c r="C144" s="24" t="s">
        <v>471</v>
      </c>
      <c r="D144" s="24" t="s">
        <v>29</v>
      </c>
      <c r="E144" s="26" t="s">
        <v>30</v>
      </c>
      <c r="F144" s="25">
        <v>160</v>
      </c>
      <c r="G144" s="25">
        <v>886.62</v>
      </c>
      <c r="H144" s="30" t="s">
        <v>31</v>
      </c>
      <c r="I144" s="30" t="s">
        <v>31</v>
      </c>
      <c r="J144" s="25">
        <v>100.8</v>
      </c>
    </row>
    <row r="145" spans="1:15" x14ac:dyDescent="0.25">
      <c r="A145" s="24" t="s">
        <v>510</v>
      </c>
      <c r="B145" s="25">
        <v>122</v>
      </c>
      <c r="C145" s="24" t="s">
        <v>471</v>
      </c>
      <c r="D145" s="24" t="s">
        <v>493</v>
      </c>
      <c r="E145" s="26" t="s">
        <v>511</v>
      </c>
      <c r="F145" s="25">
        <v>159</v>
      </c>
      <c r="G145" s="25">
        <v>859.28099999999995</v>
      </c>
      <c r="H145" s="30" t="s">
        <v>31</v>
      </c>
      <c r="I145" s="30" t="s">
        <v>31</v>
      </c>
      <c r="J145" s="25">
        <v>100.17</v>
      </c>
    </row>
    <row r="146" spans="1:15" x14ac:dyDescent="0.25">
      <c r="A146" s="24" t="s">
        <v>512</v>
      </c>
      <c r="B146" s="25">
        <v>124</v>
      </c>
      <c r="C146" s="24" t="s">
        <v>471</v>
      </c>
      <c r="D146" s="24" t="s">
        <v>493</v>
      </c>
      <c r="E146" s="26" t="s">
        <v>513</v>
      </c>
      <c r="F146" s="25">
        <v>30</v>
      </c>
      <c r="G146" s="25">
        <v>243.5</v>
      </c>
      <c r="H146" s="30" t="s">
        <v>31</v>
      </c>
      <c r="I146" s="30" t="s">
        <v>31</v>
      </c>
      <c r="J146" s="25">
        <v>18.899999999999999</v>
      </c>
    </row>
    <row r="147" spans="1:15" s="38" customFormat="1" ht="27.75" customHeight="1" x14ac:dyDescent="0.3">
      <c r="A147" s="34"/>
      <c r="B147" s="35"/>
      <c r="C147" s="34"/>
      <c r="D147" s="34"/>
      <c r="E147" s="36"/>
      <c r="F147" s="37">
        <f>SUM(F2:F146)</f>
        <v>5410</v>
      </c>
      <c r="G147" s="37">
        <f>SUM(G2:G146)</f>
        <v>21491.723019999998</v>
      </c>
      <c r="H147" s="34"/>
      <c r="I147" s="34"/>
      <c r="J147" s="35"/>
      <c r="K147" s="34"/>
      <c r="L147" s="34"/>
      <c r="M147" s="34"/>
      <c r="N147" s="34"/>
      <c r="O147" s="34"/>
    </row>
    <row r="148" spans="1:15" s="38" customFormat="1" ht="27.75" customHeight="1" x14ac:dyDescent="0.3">
      <c r="A148" s="34"/>
      <c r="B148" s="35"/>
      <c r="C148" s="34"/>
      <c r="D148" s="34"/>
      <c r="E148" s="36"/>
      <c r="F148" s="35">
        <v>5410</v>
      </c>
      <c r="G148" s="35">
        <v>21491.723019999998</v>
      </c>
      <c r="H148" s="34"/>
      <c r="I148" s="34"/>
      <c r="J148" s="35"/>
      <c r="K148" s="34"/>
      <c r="L148" s="34"/>
      <c r="M148" s="34"/>
      <c r="N148" s="34"/>
      <c r="O148" s="34"/>
    </row>
  </sheetData>
  <autoFilter ref="A1:L148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H546"/>
  <sheetViews>
    <sheetView tabSelected="1" workbookViewId="0">
      <selection activeCell="O12" sqref="O12"/>
    </sheetView>
  </sheetViews>
  <sheetFormatPr baseColWidth="10" defaultRowHeight="15" x14ac:dyDescent="0.25"/>
  <sheetData>
    <row r="1" spans="1:8" ht="31.5" x14ac:dyDescent="0.25">
      <c r="A1" s="1" t="s">
        <v>2</v>
      </c>
      <c r="B1" s="1" t="s">
        <v>3</v>
      </c>
      <c r="C1" s="2" t="s">
        <v>4</v>
      </c>
      <c r="D1" s="1" t="s">
        <v>8</v>
      </c>
      <c r="E1" s="1" t="s">
        <v>9</v>
      </c>
      <c r="F1" s="1" t="s">
        <v>10</v>
      </c>
      <c r="G1" s="1" t="s">
        <v>516</v>
      </c>
    </row>
    <row r="2" spans="1:8" ht="15.75" x14ac:dyDescent="0.25">
      <c r="A2" s="3" t="s">
        <v>29</v>
      </c>
      <c r="B2" s="4">
        <v>204</v>
      </c>
      <c r="C2" s="4">
        <v>1095.088</v>
      </c>
      <c r="D2" s="6" t="s">
        <v>31</v>
      </c>
      <c r="E2" s="6" t="s">
        <v>31</v>
      </c>
      <c r="F2" s="40">
        <v>128.52000000000001</v>
      </c>
      <c r="G2" s="4">
        <v>129</v>
      </c>
      <c r="H2" s="44">
        <f>IF(F2=G2,1,0)</f>
        <v>0</v>
      </c>
    </row>
    <row r="3" spans="1:8" ht="15.75" x14ac:dyDescent="0.25">
      <c r="A3" s="3" t="s">
        <v>35</v>
      </c>
      <c r="B3" s="4">
        <v>1</v>
      </c>
      <c r="C3" s="4">
        <v>17.612500000000001</v>
      </c>
      <c r="D3" s="3" t="s">
        <v>41</v>
      </c>
      <c r="E3" s="3" t="s">
        <v>45</v>
      </c>
      <c r="F3" s="41" t="s">
        <v>515</v>
      </c>
      <c r="G3" s="4">
        <v>40</v>
      </c>
      <c r="H3" s="44">
        <f>IF(F3=G3,1,0)</f>
        <v>0</v>
      </c>
    </row>
    <row r="4" spans="1:8" ht="15.75" x14ac:dyDescent="0.25">
      <c r="A4" s="3" t="s">
        <v>56</v>
      </c>
      <c r="B4" s="4">
        <v>109</v>
      </c>
      <c r="C4" s="4">
        <v>1781.2729999999999</v>
      </c>
      <c r="D4" s="7" t="s">
        <v>36</v>
      </c>
      <c r="E4" s="7" t="s">
        <v>36</v>
      </c>
      <c r="F4" s="40">
        <v>545</v>
      </c>
      <c r="G4" s="4">
        <v>520</v>
      </c>
      <c r="H4" s="44">
        <f>IF(F4=G4,1,0)</f>
        <v>0</v>
      </c>
    </row>
    <row r="5" spans="1:8" ht="15.75" x14ac:dyDescent="0.25">
      <c r="A5" s="3" t="s">
        <v>59</v>
      </c>
      <c r="B5" s="4">
        <v>1</v>
      </c>
      <c r="C5" s="4">
        <v>0</v>
      </c>
      <c r="D5" s="7" t="s">
        <v>36</v>
      </c>
      <c r="E5" s="7" t="s">
        <v>36</v>
      </c>
      <c r="F5" s="40">
        <v>5</v>
      </c>
      <c r="G5" s="4">
        <v>10</v>
      </c>
      <c r="H5" s="44">
        <f>IF(F5=G5,1,0)</f>
        <v>0</v>
      </c>
    </row>
    <row r="6" spans="1:8" ht="15.75" x14ac:dyDescent="0.25">
      <c r="A6" s="3" t="s">
        <v>66</v>
      </c>
      <c r="B6" s="4">
        <v>1</v>
      </c>
      <c r="C6" s="4">
        <v>10.433999999999999</v>
      </c>
      <c r="D6" s="3" t="s">
        <v>41</v>
      </c>
      <c r="E6" s="3" t="s">
        <v>67</v>
      </c>
      <c r="F6" s="41" t="s">
        <v>515</v>
      </c>
      <c r="G6" s="4">
        <v>24</v>
      </c>
      <c r="H6" s="44">
        <f>IF(F6=G6,1,0)</f>
        <v>0</v>
      </c>
    </row>
    <row r="7" spans="1:8" ht="15.75" x14ac:dyDescent="0.25">
      <c r="A7" s="3" t="s">
        <v>35</v>
      </c>
      <c r="B7" s="4">
        <v>2</v>
      </c>
      <c r="C7" s="4"/>
      <c r="D7" s="3" t="s">
        <v>41</v>
      </c>
      <c r="E7" s="8" t="s">
        <v>68</v>
      </c>
      <c r="F7" s="41" t="s">
        <v>515</v>
      </c>
      <c r="G7" s="4">
        <v>20</v>
      </c>
      <c r="H7" s="44">
        <f>IF(F7=G7,1,0)</f>
        <v>0</v>
      </c>
    </row>
    <row r="8" spans="1:8" ht="15.75" x14ac:dyDescent="0.25">
      <c r="A8" s="3" t="s">
        <v>35</v>
      </c>
      <c r="B8" s="4">
        <v>3</v>
      </c>
      <c r="C8" s="4">
        <v>36.800000000000004</v>
      </c>
      <c r="D8" s="3" t="s">
        <v>41</v>
      </c>
      <c r="E8" s="3" t="s">
        <v>44</v>
      </c>
      <c r="F8" s="40">
        <v>72</v>
      </c>
      <c r="G8" s="4">
        <v>48</v>
      </c>
      <c r="H8" s="44">
        <f>IF(F8=G8,1,0)</f>
        <v>0</v>
      </c>
    </row>
    <row r="9" spans="1:8" ht="15.75" x14ac:dyDescent="0.25">
      <c r="A9" s="3" t="s">
        <v>35</v>
      </c>
      <c r="B9" s="4">
        <v>2</v>
      </c>
      <c r="C9" s="9">
        <v>24.533333333333335</v>
      </c>
      <c r="D9" s="3" t="s">
        <v>41</v>
      </c>
      <c r="E9" s="3" t="s">
        <v>67</v>
      </c>
      <c r="F9" s="41" t="s">
        <v>515</v>
      </c>
      <c r="G9" s="4">
        <v>48</v>
      </c>
      <c r="H9" s="44">
        <f>IF(F9=G9,1,0)</f>
        <v>0</v>
      </c>
    </row>
    <row r="10" spans="1:8" ht="15.75" x14ac:dyDescent="0.25">
      <c r="A10" s="10" t="s">
        <v>108</v>
      </c>
      <c r="B10" s="11">
        <v>63</v>
      </c>
      <c r="C10" s="11">
        <v>698.61</v>
      </c>
      <c r="D10" s="12" t="s">
        <v>31</v>
      </c>
      <c r="E10" s="13" t="s">
        <v>31</v>
      </c>
      <c r="F10" s="42">
        <v>39.69</v>
      </c>
      <c r="G10">
        <f>B10*0.63</f>
        <v>39.69</v>
      </c>
      <c r="H10" s="44">
        <f>IF(F10=G10,1,0)</f>
        <v>1</v>
      </c>
    </row>
    <row r="11" spans="1:8" ht="15.75" x14ac:dyDescent="0.25">
      <c r="A11" s="10" t="s">
        <v>109</v>
      </c>
      <c r="B11" s="11">
        <v>108</v>
      </c>
      <c r="C11" s="11">
        <v>1172.02</v>
      </c>
      <c r="D11" s="12" t="s">
        <v>31</v>
      </c>
      <c r="E11" s="13" t="s">
        <v>31</v>
      </c>
      <c r="F11" s="42">
        <v>68.040000000000006</v>
      </c>
      <c r="G11" s="11" t="s">
        <v>35</v>
      </c>
      <c r="H11" s="44">
        <f>IF(F11=G11,1,0)</f>
        <v>0</v>
      </c>
    </row>
    <row r="12" spans="1:8" ht="15.75" x14ac:dyDescent="0.25">
      <c r="A12" s="10" t="s">
        <v>110</v>
      </c>
      <c r="B12" s="11">
        <v>131</v>
      </c>
      <c r="C12" s="11">
        <v>585.79999999999995</v>
      </c>
      <c r="D12" s="12" t="s">
        <v>31</v>
      </c>
      <c r="E12" s="13" t="s">
        <v>31</v>
      </c>
      <c r="F12" s="42">
        <v>82.53</v>
      </c>
      <c r="G12" s="11" t="s">
        <v>35</v>
      </c>
      <c r="H12" s="44">
        <f>IF(F12=G12,1,0)</f>
        <v>0</v>
      </c>
    </row>
    <row r="13" spans="1:8" ht="15.75" x14ac:dyDescent="0.25">
      <c r="A13" s="10" t="s">
        <v>111</v>
      </c>
      <c r="B13" s="11">
        <v>122</v>
      </c>
      <c r="C13" s="11">
        <v>789.51199999999994</v>
      </c>
      <c r="D13" s="12" t="s">
        <v>31</v>
      </c>
      <c r="E13" s="13" t="s">
        <v>31</v>
      </c>
      <c r="F13" s="42">
        <v>76.86</v>
      </c>
      <c r="G13" s="11" t="s">
        <v>35</v>
      </c>
      <c r="H13" s="44">
        <f>IF(F13=G13,1,0)</f>
        <v>0</v>
      </c>
    </row>
    <row r="14" spans="1:8" ht="15.75" x14ac:dyDescent="0.25">
      <c r="A14" s="10" t="s">
        <v>112</v>
      </c>
      <c r="B14" s="11">
        <v>37</v>
      </c>
      <c r="C14" s="11">
        <v>236.542</v>
      </c>
      <c r="D14" s="12" t="s">
        <v>31</v>
      </c>
      <c r="E14" s="13" t="s">
        <v>31</v>
      </c>
      <c r="F14" s="42">
        <v>23.31</v>
      </c>
      <c r="G14" s="11" t="s">
        <v>35</v>
      </c>
      <c r="H14" s="44">
        <f>IF(F14=G14,1,0)</f>
        <v>0</v>
      </c>
    </row>
    <row r="15" spans="1:8" ht="15.75" x14ac:dyDescent="0.25">
      <c r="A15" s="10" t="s">
        <v>114</v>
      </c>
      <c r="B15" s="11">
        <v>137</v>
      </c>
      <c r="C15" s="11">
        <v>334.94</v>
      </c>
      <c r="D15" s="14" t="s">
        <v>31</v>
      </c>
      <c r="E15" s="15" t="s">
        <v>31</v>
      </c>
      <c r="F15" s="42">
        <v>164.4</v>
      </c>
      <c r="G15" s="11" t="s">
        <v>35</v>
      </c>
      <c r="H15" s="44">
        <f>IF(F15=G15,1,0)</f>
        <v>0</v>
      </c>
    </row>
    <row r="16" spans="1:8" ht="15.75" x14ac:dyDescent="0.25">
      <c r="A16" s="10" t="s">
        <v>116</v>
      </c>
      <c r="B16" s="11">
        <v>21</v>
      </c>
      <c r="C16" s="11">
        <v>144.38</v>
      </c>
      <c r="D16" s="14" t="s">
        <v>31</v>
      </c>
      <c r="E16" s="15" t="s">
        <v>31</v>
      </c>
      <c r="F16" s="42">
        <v>25.2</v>
      </c>
      <c r="G16" s="11" t="s">
        <v>35</v>
      </c>
      <c r="H16" s="44">
        <f>IF(F16=G16,1,0)</f>
        <v>0</v>
      </c>
    </row>
    <row r="17" spans="1:8" ht="15.75" x14ac:dyDescent="0.25">
      <c r="A17" s="10" t="s">
        <v>117</v>
      </c>
      <c r="B17" s="11">
        <v>186</v>
      </c>
      <c r="C17" s="11">
        <v>908.59799999999996</v>
      </c>
      <c r="D17" s="14" t="s">
        <v>31</v>
      </c>
      <c r="E17" s="15" t="s">
        <v>31</v>
      </c>
      <c r="F17" s="42">
        <v>223.2</v>
      </c>
      <c r="G17" s="11" t="s">
        <v>35</v>
      </c>
      <c r="H17" s="44">
        <f>IF(F17=G17,1,0)</f>
        <v>0</v>
      </c>
    </row>
    <row r="18" spans="1:8" ht="15.75" x14ac:dyDescent="0.25">
      <c r="A18" s="10" t="s">
        <v>118</v>
      </c>
      <c r="B18" s="11">
        <v>18</v>
      </c>
      <c r="C18" s="11">
        <v>201.27600000000001</v>
      </c>
      <c r="D18" s="16" t="s">
        <v>31</v>
      </c>
      <c r="E18" s="17" t="s">
        <v>31</v>
      </c>
      <c r="F18" s="42">
        <v>12.78</v>
      </c>
      <c r="G18" s="11" t="s">
        <v>35</v>
      </c>
      <c r="H18" s="44">
        <f>IF(F18=G18,1,0)</f>
        <v>0</v>
      </c>
    </row>
    <row r="19" spans="1:8" ht="15.75" x14ac:dyDescent="0.25">
      <c r="A19" s="10" t="s">
        <v>120</v>
      </c>
      <c r="B19" s="11">
        <v>8</v>
      </c>
      <c r="C19" s="11">
        <v>58.239999999999995</v>
      </c>
      <c r="D19" s="16" t="s">
        <v>31</v>
      </c>
      <c r="E19" s="17" t="s">
        <v>31</v>
      </c>
      <c r="F19" s="42">
        <v>5.68</v>
      </c>
      <c r="G19" s="11" t="s">
        <v>35</v>
      </c>
      <c r="H19" s="44">
        <f>IF(F19=G19,1,0)</f>
        <v>0</v>
      </c>
    </row>
    <row r="20" spans="1:8" ht="15.75" x14ac:dyDescent="0.25">
      <c r="A20" s="10" t="s">
        <v>121</v>
      </c>
      <c r="B20" s="11">
        <v>85</v>
      </c>
      <c r="C20" s="11">
        <v>113.33199999999999</v>
      </c>
      <c r="D20" s="16" t="s">
        <v>31</v>
      </c>
      <c r="E20" s="17" t="s">
        <v>31</v>
      </c>
      <c r="F20" s="42">
        <v>60.349999999999994</v>
      </c>
      <c r="G20" s="11" t="s">
        <v>35</v>
      </c>
      <c r="H20" s="44">
        <f>IF(F20=G20,1,0)</f>
        <v>0</v>
      </c>
    </row>
    <row r="21" spans="1:8" ht="15.75" x14ac:dyDescent="0.25">
      <c r="A21" s="10" t="s">
        <v>122</v>
      </c>
      <c r="B21" s="11">
        <v>502</v>
      </c>
      <c r="C21" s="11">
        <v>1727.7540000000001</v>
      </c>
      <c r="D21" s="18" t="s">
        <v>31</v>
      </c>
      <c r="E21" s="19" t="s">
        <v>31</v>
      </c>
      <c r="F21" s="42">
        <v>2510</v>
      </c>
      <c r="G21" s="11" t="s">
        <v>35</v>
      </c>
      <c r="H21" s="44">
        <f>IF(F21=G21,1,0)</f>
        <v>0</v>
      </c>
    </row>
    <row r="22" spans="1:8" ht="15.75" x14ac:dyDescent="0.25">
      <c r="A22" s="10" t="s">
        <v>124</v>
      </c>
      <c r="B22" s="11">
        <v>1</v>
      </c>
      <c r="C22" s="11">
        <v>9.2789999999999999</v>
      </c>
      <c r="D22" s="18" t="s">
        <v>31</v>
      </c>
      <c r="E22" s="19" t="s">
        <v>31</v>
      </c>
      <c r="F22" s="42">
        <v>5</v>
      </c>
      <c r="G22" s="11" t="s">
        <v>35</v>
      </c>
      <c r="H22" s="44">
        <f>IF(F22=G22,1,0)</f>
        <v>0</v>
      </c>
    </row>
    <row r="23" spans="1:8" ht="15.75" x14ac:dyDescent="0.25">
      <c r="A23" s="10" t="s">
        <v>125</v>
      </c>
      <c r="B23" s="11">
        <v>3</v>
      </c>
      <c r="C23" s="11">
        <v>54.198</v>
      </c>
      <c r="D23" s="18" t="s">
        <v>31</v>
      </c>
      <c r="E23" s="19" t="s">
        <v>31</v>
      </c>
      <c r="F23" s="42">
        <v>15</v>
      </c>
      <c r="G23" s="11" t="s">
        <v>35</v>
      </c>
      <c r="H23" s="44">
        <f>IF(F23=G23,1,0)</f>
        <v>0</v>
      </c>
    </row>
    <row r="24" spans="1:8" ht="15.75" x14ac:dyDescent="0.25">
      <c r="A24" s="10" t="s">
        <v>126</v>
      </c>
      <c r="B24" s="11">
        <v>1</v>
      </c>
      <c r="C24" s="11">
        <v>14.5</v>
      </c>
      <c r="D24" s="11" t="s">
        <v>31</v>
      </c>
      <c r="E24" s="10" t="s">
        <v>31</v>
      </c>
      <c r="F24" s="42">
        <v>24</v>
      </c>
      <c r="G24" s="11" t="s">
        <v>35</v>
      </c>
      <c r="H24" s="44">
        <f>IF(F24=G24,1,0)</f>
        <v>0</v>
      </c>
    </row>
    <row r="25" spans="1:8" ht="15.75" x14ac:dyDescent="0.25">
      <c r="A25" s="10" t="s">
        <v>127</v>
      </c>
      <c r="B25" s="11">
        <v>1</v>
      </c>
      <c r="C25" s="11">
        <v>17</v>
      </c>
      <c r="D25" s="11" t="s">
        <v>31</v>
      </c>
      <c r="E25" s="10" t="s">
        <v>31</v>
      </c>
      <c r="F25" s="42">
        <v>24</v>
      </c>
      <c r="G25" s="11" t="s">
        <v>35</v>
      </c>
      <c r="H25" s="44">
        <f>IF(F25=G25,1,0)</f>
        <v>0</v>
      </c>
    </row>
    <row r="26" spans="1:8" ht="15.75" x14ac:dyDescent="0.25">
      <c r="A26" s="10" t="s">
        <v>128</v>
      </c>
      <c r="B26" s="11">
        <v>9</v>
      </c>
      <c r="C26" s="11">
        <v>227.608</v>
      </c>
      <c r="D26" s="11" t="s">
        <v>31</v>
      </c>
      <c r="E26" s="10" t="s">
        <v>31</v>
      </c>
      <c r="F26" s="42">
        <v>216</v>
      </c>
      <c r="G26" s="11" t="s">
        <v>35</v>
      </c>
      <c r="H26" s="44">
        <f>IF(F26=G26,1,0)</f>
        <v>0</v>
      </c>
    </row>
    <row r="27" spans="1:8" ht="15.75" x14ac:dyDescent="0.25">
      <c r="A27" s="10" t="s">
        <v>134</v>
      </c>
      <c r="B27" s="11">
        <v>2</v>
      </c>
      <c r="C27" s="11">
        <v>17.899999999999999</v>
      </c>
      <c r="D27" s="11" t="s">
        <v>31</v>
      </c>
      <c r="E27" s="10" t="s">
        <v>31</v>
      </c>
      <c r="F27" s="42">
        <v>48</v>
      </c>
      <c r="G27" s="11">
        <v>24</v>
      </c>
      <c r="H27" s="44">
        <f>IF(F27=G27,1,0)</f>
        <v>0</v>
      </c>
    </row>
    <row r="28" spans="1:8" ht="15.75" x14ac:dyDescent="0.25">
      <c r="A28" s="10" t="s">
        <v>137</v>
      </c>
      <c r="B28" s="11">
        <v>2</v>
      </c>
      <c r="C28" s="11">
        <v>0</v>
      </c>
      <c r="D28" s="21" t="s">
        <v>31</v>
      </c>
      <c r="E28" s="21" t="s">
        <v>31</v>
      </c>
      <c r="F28" s="42">
        <v>10</v>
      </c>
      <c r="G28" s="11">
        <v>5</v>
      </c>
      <c r="H28" s="44">
        <f>IF(F28=G28,1,0)</f>
        <v>0</v>
      </c>
    </row>
    <row r="29" spans="1:8" ht="15.75" x14ac:dyDescent="0.25">
      <c r="A29" s="10" t="s">
        <v>138</v>
      </c>
      <c r="B29" s="11">
        <v>1</v>
      </c>
      <c r="C29" s="11">
        <v>2.85</v>
      </c>
      <c r="D29" s="11" t="s">
        <v>31</v>
      </c>
      <c r="E29" s="10" t="s">
        <v>31</v>
      </c>
      <c r="F29" s="42">
        <v>24</v>
      </c>
      <c r="G29" s="11" t="s">
        <v>35</v>
      </c>
      <c r="H29" s="44">
        <f>IF(F29=G29,1,0)</f>
        <v>0</v>
      </c>
    </row>
    <row r="30" spans="1:8" ht="15.75" x14ac:dyDescent="0.25">
      <c r="A30" s="10" t="s">
        <v>139</v>
      </c>
      <c r="B30" s="11">
        <v>1</v>
      </c>
      <c r="C30" s="11">
        <v>15</v>
      </c>
      <c r="D30" s="11" t="s">
        <v>31</v>
      </c>
      <c r="E30" s="10" t="s">
        <v>31</v>
      </c>
      <c r="F30" s="42">
        <v>24</v>
      </c>
      <c r="G30" s="11" t="s">
        <v>35</v>
      </c>
      <c r="H30" s="44">
        <f>IF(F30=G30,1,0)</f>
        <v>0</v>
      </c>
    </row>
    <row r="31" spans="1:8" ht="15.75" x14ac:dyDescent="0.25">
      <c r="A31" s="10" t="s">
        <v>140</v>
      </c>
      <c r="B31" s="11">
        <v>1</v>
      </c>
      <c r="C31" s="11">
        <v>15</v>
      </c>
      <c r="D31" s="11" t="s">
        <v>31</v>
      </c>
      <c r="E31" s="10" t="s">
        <v>31</v>
      </c>
      <c r="F31" s="42">
        <v>24</v>
      </c>
      <c r="G31" s="11" t="s">
        <v>35</v>
      </c>
      <c r="H31" s="44">
        <f>IF(F31=G31,1,0)</f>
        <v>0</v>
      </c>
    </row>
    <row r="32" spans="1:8" ht="15.75" x14ac:dyDescent="0.25">
      <c r="A32" s="10" t="s">
        <v>141</v>
      </c>
      <c r="B32" s="11">
        <v>1</v>
      </c>
      <c r="C32" s="11">
        <v>12.5</v>
      </c>
      <c r="D32" s="11" t="s">
        <v>31</v>
      </c>
      <c r="E32" s="10" t="s">
        <v>31</v>
      </c>
      <c r="F32" s="42">
        <v>24</v>
      </c>
      <c r="G32" s="11" t="s">
        <v>35</v>
      </c>
      <c r="H32" s="44">
        <f>IF(F32=G32,1,0)</f>
        <v>0</v>
      </c>
    </row>
    <row r="33" spans="1:8" ht="15.75" x14ac:dyDescent="0.25">
      <c r="A33" s="10" t="s">
        <v>147</v>
      </c>
      <c r="B33" s="11">
        <v>106</v>
      </c>
      <c r="C33" s="11">
        <v>269.02100000000002</v>
      </c>
      <c r="D33" s="21" t="s">
        <v>31</v>
      </c>
      <c r="E33" s="21" t="s">
        <v>31</v>
      </c>
      <c r="F33" s="43" t="s">
        <v>515</v>
      </c>
      <c r="G33" s="11">
        <v>90</v>
      </c>
      <c r="H33" s="44">
        <f>IF(F33=G33,1,0)</f>
        <v>0</v>
      </c>
    </row>
    <row r="34" spans="1:8" ht="15.75" x14ac:dyDescent="0.25">
      <c r="A34" s="10" t="s">
        <v>149</v>
      </c>
      <c r="B34" s="11">
        <v>176</v>
      </c>
      <c r="C34" s="11">
        <v>792.22799999999995</v>
      </c>
      <c r="D34" s="21" t="s">
        <v>31</v>
      </c>
      <c r="E34" s="21" t="s">
        <v>31</v>
      </c>
      <c r="F34" s="42">
        <v>880</v>
      </c>
      <c r="G34" s="11">
        <v>550</v>
      </c>
      <c r="H34" s="44">
        <f>IF(F34=G34,1,0)</f>
        <v>0</v>
      </c>
    </row>
    <row r="35" spans="1:8" ht="15.75" x14ac:dyDescent="0.25">
      <c r="A35" s="10" t="s">
        <v>150</v>
      </c>
      <c r="B35" s="11">
        <v>88</v>
      </c>
      <c r="C35" s="11">
        <v>41.553250000000006</v>
      </c>
      <c r="D35" s="21" t="s">
        <v>31</v>
      </c>
      <c r="E35" s="21" t="s">
        <v>31</v>
      </c>
      <c r="F35" s="42">
        <v>440</v>
      </c>
      <c r="G35" s="11">
        <v>350</v>
      </c>
      <c r="H35" s="44">
        <f>IF(F35=G35,1,0)</f>
        <v>0</v>
      </c>
    </row>
    <row r="36" spans="1:8" ht="15.75" x14ac:dyDescent="0.25">
      <c r="A36" s="10" t="s">
        <v>152</v>
      </c>
      <c r="B36" s="11">
        <v>146</v>
      </c>
      <c r="C36" s="11">
        <v>409.76499999999999</v>
      </c>
      <c r="D36" s="21" t="s">
        <v>31</v>
      </c>
      <c r="E36" s="21" t="s">
        <v>31</v>
      </c>
      <c r="F36" s="42">
        <v>730</v>
      </c>
      <c r="G36" s="11">
        <v>365</v>
      </c>
      <c r="H36" s="44">
        <f>IF(F36=G36,1,0)</f>
        <v>0</v>
      </c>
    </row>
    <row r="37" spans="1:8" ht="15.75" x14ac:dyDescent="0.25">
      <c r="A37" s="10" t="s">
        <v>153</v>
      </c>
      <c r="B37" s="11">
        <v>5</v>
      </c>
      <c r="C37" s="11">
        <v>0</v>
      </c>
      <c r="D37" s="21" t="s">
        <v>31</v>
      </c>
      <c r="E37" s="21" t="s">
        <v>31</v>
      </c>
      <c r="F37" s="42">
        <v>25</v>
      </c>
      <c r="G37" s="11">
        <v>5</v>
      </c>
      <c r="H37" s="44">
        <f>IF(F37=G37,1,0)</f>
        <v>0</v>
      </c>
    </row>
    <row r="38" spans="1:8" ht="15.75" x14ac:dyDescent="0.25">
      <c r="A38" s="10" t="s">
        <v>155</v>
      </c>
      <c r="B38" s="11">
        <v>134</v>
      </c>
      <c r="C38" s="11">
        <v>85.864899999999992</v>
      </c>
      <c r="D38" s="21" t="s">
        <v>31</v>
      </c>
      <c r="E38" s="21" t="s">
        <v>31</v>
      </c>
      <c r="F38" s="42">
        <v>670</v>
      </c>
      <c r="G38" s="11">
        <v>310</v>
      </c>
      <c r="H38" s="44">
        <f>IF(F38=G38,1,0)</f>
        <v>0</v>
      </c>
    </row>
    <row r="39" spans="1:8" ht="15.75" x14ac:dyDescent="0.25">
      <c r="A39" s="10" t="s">
        <v>157</v>
      </c>
      <c r="B39" s="11">
        <v>1</v>
      </c>
      <c r="C39" s="11">
        <v>2.04</v>
      </c>
      <c r="D39" s="11" t="s">
        <v>31</v>
      </c>
      <c r="E39" s="10" t="s">
        <v>31</v>
      </c>
      <c r="F39" s="42">
        <v>24</v>
      </c>
      <c r="G39" s="11"/>
      <c r="H39" s="44">
        <f>IF(F39=G39,1,0)</f>
        <v>0</v>
      </c>
    </row>
    <row r="40" spans="1:8" ht="15.75" x14ac:dyDescent="0.25">
      <c r="A40" s="10" t="s">
        <v>114</v>
      </c>
      <c r="B40" s="11">
        <v>137</v>
      </c>
      <c r="C40" s="11">
        <v>334.94</v>
      </c>
      <c r="D40" s="14" t="s">
        <v>31</v>
      </c>
      <c r="E40" s="15" t="s">
        <v>31</v>
      </c>
      <c r="F40" s="42">
        <v>164.4</v>
      </c>
      <c r="G40" s="11">
        <v>164</v>
      </c>
      <c r="H40" s="44">
        <f>IF(F40=G40,1,0)</f>
        <v>0</v>
      </c>
    </row>
    <row r="41" spans="1:8" ht="15.75" x14ac:dyDescent="0.25">
      <c r="A41" s="10" t="s">
        <v>116</v>
      </c>
      <c r="B41" s="11">
        <v>21</v>
      </c>
      <c r="C41" s="11">
        <v>144.38</v>
      </c>
      <c r="D41" s="14" t="s">
        <v>31</v>
      </c>
      <c r="E41" s="15" t="s">
        <v>31</v>
      </c>
      <c r="F41" s="42">
        <v>25.2</v>
      </c>
      <c r="G41" s="11">
        <v>25</v>
      </c>
      <c r="H41" s="44">
        <f>IF(F41=G41,1,0)</f>
        <v>0</v>
      </c>
    </row>
    <row r="42" spans="1:8" ht="15.75" x14ac:dyDescent="0.25">
      <c r="A42" s="10" t="s">
        <v>117</v>
      </c>
      <c r="B42" s="11">
        <v>186</v>
      </c>
      <c r="C42" s="11">
        <v>908.59799999999996</v>
      </c>
      <c r="D42" s="14" t="s">
        <v>31</v>
      </c>
      <c r="E42" s="15" t="s">
        <v>31</v>
      </c>
      <c r="F42" s="42">
        <v>223.2</v>
      </c>
      <c r="G42" s="11">
        <v>223</v>
      </c>
      <c r="H42" s="44">
        <f>IF(F42=G42,1,0)</f>
        <v>0</v>
      </c>
    </row>
    <row r="43" spans="1:8" ht="15.75" x14ac:dyDescent="0.25">
      <c r="A43" s="10" t="s">
        <v>122</v>
      </c>
      <c r="B43" s="11">
        <v>502</v>
      </c>
      <c r="C43" s="11">
        <v>1727.7540000000001</v>
      </c>
      <c r="D43" s="18" t="s">
        <v>31</v>
      </c>
      <c r="E43" s="19" t="s">
        <v>31</v>
      </c>
      <c r="F43" s="42">
        <v>2510</v>
      </c>
      <c r="G43" s="11">
        <v>120</v>
      </c>
      <c r="H43" s="44">
        <f>IF(F43=G43,1,0)</f>
        <v>0</v>
      </c>
    </row>
    <row r="44" spans="1:8" ht="15.75" x14ac:dyDescent="0.25">
      <c r="A44" s="10" t="s">
        <v>137</v>
      </c>
      <c r="B44" s="11">
        <v>2</v>
      </c>
      <c r="C44" s="11">
        <v>0</v>
      </c>
      <c r="D44" s="21" t="s">
        <v>31</v>
      </c>
      <c r="E44" s="21" t="s">
        <v>31</v>
      </c>
      <c r="F44" s="42">
        <v>10</v>
      </c>
      <c r="G44" s="11">
        <v>5</v>
      </c>
      <c r="H44" s="44">
        <f>IF(F44=G44,1,0)</f>
        <v>0</v>
      </c>
    </row>
    <row r="45" spans="1:8" ht="15.75" x14ac:dyDescent="0.25">
      <c r="A45" s="10" t="s">
        <v>147</v>
      </c>
      <c r="B45" s="11">
        <v>106</v>
      </c>
      <c r="C45" s="11">
        <v>269.02100000000002</v>
      </c>
      <c r="D45" s="21" t="s">
        <v>31</v>
      </c>
      <c r="E45" s="21" t="s">
        <v>31</v>
      </c>
      <c r="F45" s="43" t="s">
        <v>515</v>
      </c>
      <c r="G45" s="11">
        <v>90</v>
      </c>
      <c r="H45" s="44">
        <f>IF(F45=G45,1,0)</f>
        <v>0</v>
      </c>
    </row>
    <row r="46" spans="1:8" ht="15.75" x14ac:dyDescent="0.25">
      <c r="A46" s="10" t="s">
        <v>149</v>
      </c>
      <c r="B46" s="11">
        <v>176</v>
      </c>
      <c r="C46" s="11">
        <v>792.22799999999995</v>
      </c>
      <c r="D46" s="21" t="s">
        <v>31</v>
      </c>
      <c r="E46" s="21" t="s">
        <v>31</v>
      </c>
      <c r="F46" s="42">
        <v>880</v>
      </c>
      <c r="G46" s="11">
        <v>550</v>
      </c>
      <c r="H46" s="44">
        <f>IF(F46=G46,1,0)</f>
        <v>0</v>
      </c>
    </row>
    <row r="47" spans="1:8" ht="15.75" x14ac:dyDescent="0.25">
      <c r="A47" s="10" t="s">
        <v>150</v>
      </c>
      <c r="B47" s="11">
        <v>88</v>
      </c>
      <c r="C47" s="11">
        <v>41.553250000000006</v>
      </c>
      <c r="D47" s="21" t="s">
        <v>31</v>
      </c>
      <c r="E47" s="21" t="s">
        <v>31</v>
      </c>
      <c r="F47" s="42">
        <v>440</v>
      </c>
      <c r="G47" s="11">
        <v>350</v>
      </c>
      <c r="H47" s="44">
        <f>IF(F47=G47,1,0)</f>
        <v>0</v>
      </c>
    </row>
    <row r="48" spans="1:8" ht="15.75" x14ac:dyDescent="0.25">
      <c r="A48" s="10" t="s">
        <v>152</v>
      </c>
      <c r="B48" s="11">
        <v>146</v>
      </c>
      <c r="C48" s="11">
        <v>409.76499999999999</v>
      </c>
      <c r="D48" s="21" t="s">
        <v>31</v>
      </c>
      <c r="E48" s="21" t="s">
        <v>31</v>
      </c>
      <c r="F48" s="42">
        <v>730</v>
      </c>
      <c r="G48" s="11">
        <v>365</v>
      </c>
      <c r="H48" s="44">
        <f>IF(F48=G48,1,0)</f>
        <v>0</v>
      </c>
    </row>
    <row r="49" spans="1:8" ht="15.75" x14ac:dyDescent="0.25">
      <c r="A49" s="10" t="s">
        <v>153</v>
      </c>
      <c r="B49" s="11">
        <v>5</v>
      </c>
      <c r="C49" s="11">
        <v>0</v>
      </c>
      <c r="D49" s="21" t="s">
        <v>31</v>
      </c>
      <c r="E49" s="21" t="s">
        <v>31</v>
      </c>
      <c r="F49" s="42">
        <v>25</v>
      </c>
      <c r="G49" s="11">
        <v>5</v>
      </c>
      <c r="H49" s="44">
        <f>IF(F49=G49,1,0)</f>
        <v>0</v>
      </c>
    </row>
    <row r="50" spans="1:8" ht="15.75" x14ac:dyDescent="0.25">
      <c r="A50" s="10" t="s">
        <v>155</v>
      </c>
      <c r="B50" s="11">
        <v>134</v>
      </c>
      <c r="C50" s="11">
        <v>85.864899999999992</v>
      </c>
      <c r="D50" s="21" t="s">
        <v>31</v>
      </c>
      <c r="E50" s="21" t="s">
        <v>31</v>
      </c>
      <c r="F50" s="42">
        <v>670</v>
      </c>
      <c r="G50" s="11">
        <v>310</v>
      </c>
      <c r="H50" s="44">
        <f>IF(F50=G50,1,0)</f>
        <v>0</v>
      </c>
    </row>
    <row r="51" spans="1:8" ht="15.75" x14ac:dyDescent="0.25">
      <c r="A51" s="24" t="s">
        <v>323</v>
      </c>
      <c r="B51" s="25">
        <v>15</v>
      </c>
      <c r="C51" s="25">
        <v>24.920999999999999</v>
      </c>
      <c r="D51" s="27" t="s">
        <v>31</v>
      </c>
      <c r="E51" s="27" t="s">
        <v>31</v>
      </c>
      <c r="F51" s="39">
        <v>75</v>
      </c>
      <c r="G51" s="25">
        <v>60</v>
      </c>
      <c r="H51" s="44">
        <f>IF(F51=G51,1,0)</f>
        <v>0</v>
      </c>
    </row>
    <row r="52" spans="1:8" ht="15.75" x14ac:dyDescent="0.25">
      <c r="A52" s="24" t="s">
        <v>461</v>
      </c>
      <c r="B52" s="25">
        <v>80</v>
      </c>
      <c r="C52" s="25">
        <v>1276</v>
      </c>
      <c r="D52" s="27" t="s">
        <v>31</v>
      </c>
      <c r="E52" s="27" t="s">
        <v>31</v>
      </c>
      <c r="F52" s="39">
        <v>400</v>
      </c>
      <c r="G52" s="25">
        <v>240</v>
      </c>
      <c r="H52" s="44">
        <f>IF(F52=G52,1,0)</f>
        <v>0</v>
      </c>
    </row>
    <row r="53" spans="1:8" ht="15.75" x14ac:dyDescent="0.25">
      <c r="A53" s="24" t="s">
        <v>482</v>
      </c>
      <c r="B53" s="25">
        <v>237</v>
      </c>
      <c r="C53" s="25">
        <v>1152.32</v>
      </c>
      <c r="D53" s="29" t="s">
        <v>31</v>
      </c>
      <c r="E53" s="29" t="s">
        <v>31</v>
      </c>
      <c r="F53" s="39">
        <v>135.08999999999997</v>
      </c>
      <c r="G53" s="25">
        <v>135</v>
      </c>
      <c r="H53" s="44">
        <f>IF(F53=G53,1,0)</f>
        <v>0</v>
      </c>
    </row>
    <row r="54" spans="1:8" ht="15.75" x14ac:dyDescent="0.25">
      <c r="A54" s="3" t="s">
        <v>11</v>
      </c>
      <c r="B54" s="4">
        <v>319</v>
      </c>
      <c r="C54" s="4">
        <v>714.178</v>
      </c>
      <c r="D54" s="5" t="s">
        <v>31</v>
      </c>
      <c r="E54" s="5" t="s">
        <v>31</v>
      </c>
      <c r="F54" s="40">
        <v>226.48999999999998</v>
      </c>
      <c r="G54" s="4">
        <v>226.48999999999998</v>
      </c>
      <c r="H54">
        <f>IF(F54=G54,1,0)</f>
        <v>1</v>
      </c>
    </row>
    <row r="55" spans="1:8" ht="15.75" x14ac:dyDescent="0.25">
      <c r="A55" s="3" t="s">
        <v>13</v>
      </c>
      <c r="B55" s="4">
        <v>500</v>
      </c>
      <c r="C55" s="4">
        <v>543</v>
      </c>
      <c r="D55" s="5" t="s">
        <v>31</v>
      </c>
      <c r="E55" s="5" t="s">
        <v>31</v>
      </c>
      <c r="F55" s="40">
        <v>355</v>
      </c>
      <c r="G55" s="4">
        <v>355</v>
      </c>
      <c r="H55">
        <f>IF(F55=G55,1,0)</f>
        <v>1</v>
      </c>
    </row>
    <row r="56" spans="1:8" ht="15.75" x14ac:dyDescent="0.25">
      <c r="A56" s="3" t="s">
        <v>11</v>
      </c>
      <c r="B56" s="4">
        <v>87</v>
      </c>
      <c r="C56" s="4">
        <v>230.29499999999999</v>
      </c>
      <c r="D56" s="5" t="s">
        <v>31</v>
      </c>
      <c r="E56" s="5" t="s">
        <v>31</v>
      </c>
      <c r="F56" s="40">
        <v>61.769999999999996</v>
      </c>
      <c r="G56" s="4">
        <v>61.769999999999996</v>
      </c>
      <c r="H56">
        <f>IF(F56=G56,1,0)</f>
        <v>1</v>
      </c>
    </row>
    <row r="57" spans="1:8" ht="15.75" x14ac:dyDescent="0.25">
      <c r="A57" s="3" t="s">
        <v>11</v>
      </c>
      <c r="B57" s="4">
        <v>623</v>
      </c>
      <c r="C57" s="4">
        <v>1480.6959999999999</v>
      </c>
      <c r="D57" s="5" t="s">
        <v>31</v>
      </c>
      <c r="E57" s="5" t="s">
        <v>31</v>
      </c>
      <c r="F57" s="40">
        <v>442.33</v>
      </c>
      <c r="G57" s="4">
        <v>442.33</v>
      </c>
      <c r="H57">
        <f>IF(F57=G57,1,0)</f>
        <v>1</v>
      </c>
    </row>
    <row r="58" spans="1:8" ht="15.75" x14ac:dyDescent="0.25">
      <c r="A58" s="3" t="s">
        <v>11</v>
      </c>
      <c r="B58" s="4">
        <v>150</v>
      </c>
      <c r="C58" s="4">
        <v>353.62400000000002</v>
      </c>
      <c r="D58" s="5" t="s">
        <v>31</v>
      </c>
      <c r="E58" s="5" t="s">
        <v>31</v>
      </c>
      <c r="F58" s="40">
        <v>106.5</v>
      </c>
      <c r="G58" s="4">
        <v>106.5</v>
      </c>
      <c r="H58">
        <f>IF(F58=G58,1,0)</f>
        <v>1</v>
      </c>
    </row>
    <row r="59" spans="1:8" ht="15.75" x14ac:dyDescent="0.25">
      <c r="A59" s="3" t="s">
        <v>11</v>
      </c>
      <c r="B59" s="4">
        <v>260</v>
      </c>
      <c r="C59" s="4">
        <v>627.93499999999995</v>
      </c>
      <c r="D59" s="5" t="s">
        <v>31</v>
      </c>
      <c r="E59" s="5" t="s">
        <v>31</v>
      </c>
      <c r="F59" s="40">
        <v>184.6</v>
      </c>
      <c r="G59" s="4">
        <v>184.6</v>
      </c>
      <c r="H59">
        <f>IF(F59=G59,1,0)</f>
        <v>1</v>
      </c>
    </row>
    <row r="60" spans="1:8" ht="15.75" x14ac:dyDescent="0.25">
      <c r="A60" s="3" t="s">
        <v>15</v>
      </c>
      <c r="B60" s="4">
        <v>305</v>
      </c>
      <c r="C60" s="4">
        <v>677.15700000000004</v>
      </c>
      <c r="D60" s="5" t="s">
        <v>31</v>
      </c>
      <c r="E60" s="5" t="s">
        <v>31</v>
      </c>
      <c r="F60" s="40">
        <v>216.54999999999998</v>
      </c>
      <c r="G60" s="4">
        <v>216.54999999999998</v>
      </c>
      <c r="H60">
        <f>IF(F60=G60,1,0)</f>
        <v>1</v>
      </c>
    </row>
    <row r="61" spans="1:8" ht="15.75" x14ac:dyDescent="0.25">
      <c r="A61" s="3" t="s">
        <v>11</v>
      </c>
      <c r="B61" s="4">
        <v>300</v>
      </c>
      <c r="C61" s="4">
        <v>385.92599999999999</v>
      </c>
      <c r="D61" s="5" t="s">
        <v>31</v>
      </c>
      <c r="E61" s="5" t="s">
        <v>31</v>
      </c>
      <c r="F61" s="40">
        <v>213</v>
      </c>
      <c r="G61" s="4">
        <v>213</v>
      </c>
      <c r="H61">
        <f>IF(F61=G61,1,0)</f>
        <v>1</v>
      </c>
    </row>
    <row r="62" spans="1:8" ht="15.75" x14ac:dyDescent="0.25">
      <c r="A62" s="3" t="s">
        <v>11</v>
      </c>
      <c r="B62" s="4">
        <v>200</v>
      </c>
      <c r="C62" s="4">
        <v>446.08499999999998</v>
      </c>
      <c r="D62" s="5" t="s">
        <v>31</v>
      </c>
      <c r="E62" s="5" t="s">
        <v>31</v>
      </c>
      <c r="F62" s="40">
        <v>142</v>
      </c>
      <c r="G62" s="4">
        <v>142</v>
      </c>
      <c r="H62">
        <f>IF(F62=G62,1,0)</f>
        <v>1</v>
      </c>
    </row>
    <row r="63" spans="1:8" ht="15.75" x14ac:dyDescent="0.25">
      <c r="A63" s="3" t="s">
        <v>11</v>
      </c>
      <c r="B63" s="4">
        <v>400</v>
      </c>
      <c r="C63" s="4">
        <v>486.32400000000001</v>
      </c>
      <c r="D63" s="5" t="s">
        <v>31</v>
      </c>
      <c r="E63" s="5" t="s">
        <v>31</v>
      </c>
      <c r="F63" s="40">
        <v>284</v>
      </c>
      <c r="G63" s="4">
        <v>284</v>
      </c>
      <c r="H63">
        <f>IF(F63=G63,1,0)</f>
        <v>1</v>
      </c>
    </row>
    <row r="64" spans="1:8" ht="15.75" x14ac:dyDescent="0.25">
      <c r="A64" s="3" t="s">
        <v>16</v>
      </c>
      <c r="B64" s="4">
        <v>70</v>
      </c>
      <c r="C64" s="4">
        <v>91.977000000000004</v>
      </c>
      <c r="D64" s="5" t="s">
        <v>31</v>
      </c>
      <c r="E64" s="5" t="s">
        <v>31</v>
      </c>
      <c r="F64" s="40">
        <v>49.699999999999996</v>
      </c>
      <c r="G64" s="4">
        <v>49.699999999999996</v>
      </c>
      <c r="H64">
        <f>IF(F64=G64,1,0)</f>
        <v>1</v>
      </c>
    </row>
    <row r="65" spans="1:8" ht="15.75" x14ac:dyDescent="0.25">
      <c r="A65" s="3" t="s">
        <v>17</v>
      </c>
      <c r="B65" s="4">
        <v>244</v>
      </c>
      <c r="C65" s="4">
        <v>290.12799999999999</v>
      </c>
      <c r="D65" s="5" t="s">
        <v>31</v>
      </c>
      <c r="E65" s="5" t="s">
        <v>31</v>
      </c>
      <c r="F65" s="40">
        <v>173.23999999999998</v>
      </c>
      <c r="G65" s="4">
        <v>173.23999999999998</v>
      </c>
      <c r="H65">
        <f>IF(F65=G65,1,0)</f>
        <v>1</v>
      </c>
    </row>
    <row r="66" spans="1:8" ht="15.75" x14ac:dyDescent="0.25">
      <c r="A66" s="3" t="s">
        <v>18</v>
      </c>
      <c r="B66" s="4">
        <v>1188</v>
      </c>
      <c r="C66" s="4">
        <v>1531.335</v>
      </c>
      <c r="D66" s="5" t="s">
        <v>31</v>
      </c>
      <c r="E66" s="5" t="s">
        <v>31</v>
      </c>
      <c r="F66" s="40">
        <v>843.4799999999999</v>
      </c>
      <c r="G66" s="4">
        <v>843.4799999999999</v>
      </c>
      <c r="H66">
        <f>IF(F66=G66,1,0)</f>
        <v>1</v>
      </c>
    </row>
    <row r="67" spans="1:8" ht="15.75" x14ac:dyDescent="0.25">
      <c r="A67" s="3" t="s">
        <v>20</v>
      </c>
      <c r="B67" s="4">
        <v>630</v>
      </c>
      <c r="C67" s="4">
        <v>1166.6949999999999</v>
      </c>
      <c r="D67" s="5" t="s">
        <v>31</v>
      </c>
      <c r="E67" s="5" t="s">
        <v>31</v>
      </c>
      <c r="F67" s="40">
        <v>447.29999999999995</v>
      </c>
      <c r="G67" s="4">
        <v>447.29999999999995</v>
      </c>
      <c r="H67">
        <f>IF(F67=G67,1,0)</f>
        <v>1</v>
      </c>
    </row>
    <row r="68" spans="1:8" ht="15.75" x14ac:dyDescent="0.25">
      <c r="A68" s="3" t="s">
        <v>21</v>
      </c>
      <c r="B68" s="4">
        <v>220</v>
      </c>
      <c r="C68" s="4">
        <v>359.65699999999998</v>
      </c>
      <c r="D68" s="5" t="s">
        <v>31</v>
      </c>
      <c r="E68" s="5" t="s">
        <v>31</v>
      </c>
      <c r="F68" s="40">
        <v>156.19999999999999</v>
      </c>
      <c r="G68" s="4">
        <v>156.19999999999999</v>
      </c>
      <c r="H68">
        <f>IF(F68=G68,1,0)</f>
        <v>1</v>
      </c>
    </row>
    <row r="69" spans="1:8" ht="15.75" x14ac:dyDescent="0.25">
      <c r="A69" s="3" t="s">
        <v>20</v>
      </c>
      <c r="B69" s="4">
        <v>570</v>
      </c>
      <c r="C69" s="4">
        <v>1088.7550000000001</v>
      </c>
      <c r="D69" s="5" t="s">
        <v>31</v>
      </c>
      <c r="E69" s="5" t="s">
        <v>31</v>
      </c>
      <c r="F69" s="40">
        <v>404.7</v>
      </c>
      <c r="G69" s="4">
        <v>404.7</v>
      </c>
      <c r="H69">
        <f>IF(F69=G69,1,0)</f>
        <v>1</v>
      </c>
    </row>
    <row r="70" spans="1:8" ht="15.75" x14ac:dyDescent="0.25">
      <c r="A70" s="3" t="s">
        <v>22</v>
      </c>
      <c r="B70" s="4">
        <v>90</v>
      </c>
      <c r="C70" s="4">
        <v>111.88500000000001</v>
      </c>
      <c r="D70" s="5" t="s">
        <v>31</v>
      </c>
      <c r="E70" s="5" t="s">
        <v>31</v>
      </c>
      <c r="F70" s="40">
        <v>63.9</v>
      </c>
      <c r="G70" s="4">
        <v>63.9</v>
      </c>
      <c r="H70">
        <f>IF(F70=G70,1,0)</f>
        <v>1</v>
      </c>
    </row>
    <row r="71" spans="1:8" ht="15.75" x14ac:dyDescent="0.25">
      <c r="A71" s="3" t="s">
        <v>11</v>
      </c>
      <c r="B71" s="4">
        <v>120</v>
      </c>
      <c r="C71" s="4">
        <v>284.51400000000001</v>
      </c>
      <c r="D71" s="5" t="s">
        <v>31</v>
      </c>
      <c r="E71" s="5" t="s">
        <v>31</v>
      </c>
      <c r="F71" s="40">
        <v>85.199999999999989</v>
      </c>
      <c r="G71" s="4">
        <v>85.199999999999989</v>
      </c>
      <c r="H71">
        <f>IF(F71=G71,1,0)</f>
        <v>1</v>
      </c>
    </row>
    <row r="72" spans="1:8" ht="15.75" x14ac:dyDescent="0.25">
      <c r="A72" s="3" t="s">
        <v>23</v>
      </c>
      <c r="B72" s="4">
        <v>1200</v>
      </c>
      <c r="C72" s="4">
        <v>1724.6590000000001</v>
      </c>
      <c r="D72" s="5" t="s">
        <v>31</v>
      </c>
      <c r="E72" s="5" t="s">
        <v>31</v>
      </c>
      <c r="F72" s="40">
        <v>852</v>
      </c>
      <c r="G72" s="4">
        <v>852</v>
      </c>
      <c r="H72">
        <f>IF(F72=G72,1,0)</f>
        <v>1</v>
      </c>
    </row>
    <row r="73" spans="1:8" ht="15.75" x14ac:dyDescent="0.25">
      <c r="A73" s="3" t="s">
        <v>24</v>
      </c>
      <c r="B73" s="4">
        <v>50</v>
      </c>
      <c r="C73" s="4">
        <v>75.162000000000006</v>
      </c>
      <c r="D73" s="5" t="s">
        <v>31</v>
      </c>
      <c r="E73" s="5" t="s">
        <v>31</v>
      </c>
      <c r="F73" s="40">
        <v>35.5</v>
      </c>
      <c r="G73" s="4">
        <v>35.5</v>
      </c>
      <c r="H73">
        <f>IF(F73=G73,1,0)</f>
        <v>1</v>
      </c>
    </row>
    <row r="74" spans="1:8" ht="15.75" x14ac:dyDescent="0.25">
      <c r="A74" s="3" t="s">
        <v>11</v>
      </c>
      <c r="B74" s="4">
        <v>1100</v>
      </c>
      <c r="C74" s="4">
        <v>2496.4209999999998</v>
      </c>
      <c r="D74" s="5" t="s">
        <v>31</v>
      </c>
      <c r="E74" s="5" t="s">
        <v>31</v>
      </c>
      <c r="F74" s="40">
        <v>781</v>
      </c>
      <c r="G74" s="4">
        <v>781</v>
      </c>
      <c r="H74">
        <f>IF(F74=G74,1,0)</f>
        <v>1</v>
      </c>
    </row>
    <row r="75" spans="1:8" ht="15.75" x14ac:dyDescent="0.25">
      <c r="A75" s="3" t="s">
        <v>11</v>
      </c>
      <c r="B75" s="4">
        <v>1100</v>
      </c>
      <c r="C75" s="4">
        <v>2496.384</v>
      </c>
      <c r="D75" s="5" t="s">
        <v>31</v>
      </c>
      <c r="E75" s="5" t="s">
        <v>31</v>
      </c>
      <c r="F75" s="40">
        <v>781</v>
      </c>
      <c r="G75" s="4">
        <v>781</v>
      </c>
      <c r="H75">
        <f>IF(F75=G75,1,0)</f>
        <v>1</v>
      </c>
    </row>
    <row r="76" spans="1:8" ht="15.75" x14ac:dyDescent="0.25">
      <c r="A76" s="3" t="s">
        <v>11</v>
      </c>
      <c r="B76" s="4">
        <v>362</v>
      </c>
      <c r="C76" s="4">
        <v>839.53700000000003</v>
      </c>
      <c r="D76" s="5" t="s">
        <v>31</v>
      </c>
      <c r="E76" s="5" t="s">
        <v>31</v>
      </c>
      <c r="F76" s="40">
        <v>257.02</v>
      </c>
      <c r="G76" s="4">
        <v>257.02</v>
      </c>
      <c r="H76">
        <f>IF(F76=G76,1,0)</f>
        <v>1</v>
      </c>
    </row>
    <row r="77" spans="1:8" ht="15.75" x14ac:dyDescent="0.25">
      <c r="A77" s="3" t="s">
        <v>25</v>
      </c>
      <c r="B77" s="4">
        <v>282</v>
      </c>
      <c r="C77" s="4">
        <v>234.84</v>
      </c>
      <c r="D77" s="5" t="s">
        <v>31</v>
      </c>
      <c r="E77" s="5" t="s">
        <v>31</v>
      </c>
      <c r="F77" s="40">
        <v>200.22</v>
      </c>
      <c r="G77" s="4">
        <v>200.22</v>
      </c>
      <c r="H77">
        <f>IF(F77=G77,1,0)</f>
        <v>1</v>
      </c>
    </row>
    <row r="78" spans="1:8" ht="15.75" x14ac:dyDescent="0.25">
      <c r="A78" s="3" t="s">
        <v>26</v>
      </c>
      <c r="B78" s="4">
        <v>743</v>
      </c>
      <c r="C78" s="4">
        <v>756.19500000000005</v>
      </c>
      <c r="D78" s="5" t="s">
        <v>31</v>
      </c>
      <c r="E78" s="5" t="s">
        <v>31</v>
      </c>
      <c r="F78" s="40">
        <v>527.53</v>
      </c>
      <c r="G78" s="4">
        <v>527.53</v>
      </c>
      <c r="H78">
        <f>IF(F78=G78,1,0)</f>
        <v>1</v>
      </c>
    </row>
    <row r="79" spans="1:8" ht="15.75" x14ac:dyDescent="0.25">
      <c r="A79" s="3" t="s">
        <v>28</v>
      </c>
      <c r="B79" s="4">
        <v>260</v>
      </c>
      <c r="C79" s="4">
        <v>445.25400000000002</v>
      </c>
      <c r="D79" s="5" t="s">
        <v>31</v>
      </c>
      <c r="E79" s="5" t="s">
        <v>31</v>
      </c>
      <c r="F79" s="40">
        <v>184.6</v>
      </c>
      <c r="G79" s="4">
        <v>184.6</v>
      </c>
      <c r="H79">
        <f>IF(F79=G79,1,0)</f>
        <v>1</v>
      </c>
    </row>
    <row r="80" spans="1:8" ht="15.75" x14ac:dyDescent="0.25">
      <c r="A80" s="3" t="s">
        <v>32</v>
      </c>
      <c r="B80" s="4">
        <v>4</v>
      </c>
      <c r="C80" s="4">
        <v>58.73</v>
      </c>
      <c r="D80" s="3" t="s">
        <v>31</v>
      </c>
      <c r="E80" s="3" t="s">
        <v>31</v>
      </c>
      <c r="F80" s="40">
        <v>96</v>
      </c>
      <c r="G80" s="4">
        <v>96</v>
      </c>
      <c r="H80">
        <f>IF(F80=G80,1,0)</f>
        <v>1</v>
      </c>
    </row>
    <row r="81" spans="1:8" ht="15.75" x14ac:dyDescent="0.25">
      <c r="A81" s="3" t="s">
        <v>35</v>
      </c>
      <c r="B81" s="4">
        <v>2</v>
      </c>
      <c r="C81" s="4">
        <v>0</v>
      </c>
      <c r="D81" s="7" t="s">
        <v>31</v>
      </c>
      <c r="E81" s="7" t="s">
        <v>31</v>
      </c>
      <c r="F81" s="40">
        <v>10</v>
      </c>
      <c r="G81" s="4">
        <v>10</v>
      </c>
      <c r="H81">
        <f>IF(F81=G81,1,0)</f>
        <v>1</v>
      </c>
    </row>
    <row r="82" spans="1:8" ht="15.75" x14ac:dyDescent="0.25">
      <c r="A82" s="3" t="s">
        <v>37</v>
      </c>
      <c r="B82" s="4">
        <v>12</v>
      </c>
      <c r="C82" s="4">
        <v>150.3737142857143</v>
      </c>
      <c r="D82" s="3" t="s">
        <v>31</v>
      </c>
      <c r="E82" s="3" t="s">
        <v>31</v>
      </c>
      <c r="F82" s="40">
        <v>288</v>
      </c>
      <c r="G82" s="4">
        <v>288</v>
      </c>
      <c r="H82">
        <f>IF(F82=G82,1,0)</f>
        <v>1</v>
      </c>
    </row>
    <row r="83" spans="1:8" ht="15.75" x14ac:dyDescent="0.25">
      <c r="A83" s="3" t="s">
        <v>35</v>
      </c>
      <c r="B83" s="4">
        <v>2</v>
      </c>
      <c r="C83" s="4">
        <v>25.062285714285714</v>
      </c>
      <c r="D83" s="3" t="s">
        <v>31</v>
      </c>
      <c r="E83" s="3" t="s">
        <v>31</v>
      </c>
      <c r="F83" s="40">
        <v>48</v>
      </c>
      <c r="G83" s="4">
        <v>48</v>
      </c>
      <c r="H83">
        <f>IF(F83=G83,1,0)</f>
        <v>1</v>
      </c>
    </row>
    <row r="84" spans="1:8" ht="15.75" x14ac:dyDescent="0.25">
      <c r="A84" s="3" t="s">
        <v>35</v>
      </c>
      <c r="B84" s="4">
        <v>3</v>
      </c>
      <c r="C84" s="4">
        <v>0</v>
      </c>
      <c r="D84" s="7" t="s">
        <v>31</v>
      </c>
      <c r="E84" s="7" t="s">
        <v>31</v>
      </c>
      <c r="F84" s="40">
        <v>15</v>
      </c>
      <c r="G84" s="4">
        <v>15</v>
      </c>
      <c r="H84">
        <f>IF(F84=G84,1,0)</f>
        <v>1</v>
      </c>
    </row>
    <row r="85" spans="1:8" ht="15.75" x14ac:dyDescent="0.25">
      <c r="A85" s="3" t="s">
        <v>40</v>
      </c>
      <c r="B85" s="4">
        <v>11</v>
      </c>
      <c r="C85" s="4">
        <v>266.2</v>
      </c>
      <c r="D85" s="3" t="s">
        <v>31</v>
      </c>
      <c r="E85" s="3" t="s">
        <v>31</v>
      </c>
      <c r="F85" s="40">
        <v>264</v>
      </c>
      <c r="G85" s="4">
        <v>264</v>
      </c>
      <c r="H85">
        <f>IF(F85=G85,1,0)</f>
        <v>1</v>
      </c>
    </row>
    <row r="86" spans="1:8" ht="15.75" x14ac:dyDescent="0.25">
      <c r="A86" s="3" t="s">
        <v>43</v>
      </c>
      <c r="B86" s="4">
        <v>4</v>
      </c>
      <c r="C86" s="4">
        <v>140.9</v>
      </c>
      <c r="D86" s="3" t="s">
        <v>31</v>
      </c>
      <c r="E86" s="3" t="s">
        <v>31</v>
      </c>
      <c r="F86" s="40">
        <v>96</v>
      </c>
      <c r="G86" s="4">
        <v>96</v>
      </c>
      <c r="H86">
        <f>IF(F86=G86,1,0)</f>
        <v>1</v>
      </c>
    </row>
    <row r="87" spans="1:8" ht="15.75" x14ac:dyDescent="0.25">
      <c r="A87" s="3"/>
      <c r="B87" s="4">
        <v>3</v>
      </c>
      <c r="C87" s="4">
        <v>52.837500000000006</v>
      </c>
      <c r="D87" s="3" t="s">
        <v>31</v>
      </c>
      <c r="E87" s="3" t="s">
        <v>31</v>
      </c>
      <c r="F87" s="40">
        <v>72</v>
      </c>
      <c r="G87" s="4">
        <v>72</v>
      </c>
      <c r="H87">
        <f>IF(F87=G87,1,0)</f>
        <v>1</v>
      </c>
    </row>
    <row r="88" spans="1:8" ht="15.75" x14ac:dyDescent="0.25">
      <c r="A88" s="3" t="s">
        <v>46</v>
      </c>
      <c r="B88" s="4">
        <v>16</v>
      </c>
      <c r="C88" s="4">
        <v>16.972000000000001</v>
      </c>
      <c r="D88" s="7" t="s">
        <v>31</v>
      </c>
      <c r="E88" s="7" t="s">
        <v>31</v>
      </c>
      <c r="F88" s="40">
        <v>80</v>
      </c>
      <c r="G88" s="4">
        <v>80</v>
      </c>
      <c r="H88">
        <f>IF(F88=G88,1,0)</f>
        <v>1</v>
      </c>
    </row>
    <row r="89" spans="1:8" ht="15.75" x14ac:dyDescent="0.25">
      <c r="A89" s="3" t="s">
        <v>47</v>
      </c>
      <c r="B89" s="4">
        <v>13</v>
      </c>
      <c r="C89" s="4">
        <v>232.2</v>
      </c>
      <c r="D89" s="3" t="s">
        <v>31</v>
      </c>
      <c r="E89" s="3" t="s">
        <v>31</v>
      </c>
      <c r="F89" s="40">
        <v>312</v>
      </c>
      <c r="G89" s="4">
        <v>312</v>
      </c>
      <c r="H89">
        <f>IF(F89=G89,1,0)</f>
        <v>1</v>
      </c>
    </row>
    <row r="90" spans="1:8" ht="15.75" x14ac:dyDescent="0.25">
      <c r="A90" s="3" t="s">
        <v>49</v>
      </c>
      <c r="B90" s="4">
        <v>7</v>
      </c>
      <c r="C90" s="4">
        <v>227.85</v>
      </c>
      <c r="D90" s="3" t="s">
        <v>31</v>
      </c>
      <c r="E90" s="3" t="s">
        <v>31</v>
      </c>
      <c r="F90" s="40">
        <v>420</v>
      </c>
      <c r="G90" s="4">
        <v>420</v>
      </c>
      <c r="H90">
        <f>IF(F90=G90,1,0)</f>
        <v>1</v>
      </c>
    </row>
    <row r="91" spans="1:8" ht="15.75" x14ac:dyDescent="0.25">
      <c r="A91" s="3" t="s">
        <v>35</v>
      </c>
      <c r="B91" s="4">
        <v>7</v>
      </c>
      <c r="C91" s="4">
        <v>0</v>
      </c>
      <c r="D91" s="7" t="s">
        <v>31</v>
      </c>
      <c r="E91" s="7" t="s">
        <v>31</v>
      </c>
      <c r="F91" s="40">
        <v>35</v>
      </c>
      <c r="G91" s="4">
        <v>35</v>
      </c>
      <c r="H91">
        <f>IF(F91=G91,1,0)</f>
        <v>1</v>
      </c>
    </row>
    <row r="92" spans="1:8" ht="15.75" x14ac:dyDescent="0.25">
      <c r="A92" s="3" t="s">
        <v>51</v>
      </c>
      <c r="B92" s="4">
        <v>10</v>
      </c>
      <c r="C92" s="4">
        <v>137</v>
      </c>
      <c r="D92" s="3" t="s">
        <v>31</v>
      </c>
      <c r="E92" s="3" t="s">
        <v>31</v>
      </c>
      <c r="F92" s="40">
        <v>240</v>
      </c>
      <c r="G92" s="4">
        <v>240</v>
      </c>
      <c r="H92">
        <f>IF(F92=G92,1,0)</f>
        <v>1</v>
      </c>
    </row>
    <row r="93" spans="1:8" ht="15.75" x14ac:dyDescent="0.25">
      <c r="A93" s="3" t="s">
        <v>52</v>
      </c>
      <c r="B93" s="4">
        <v>6</v>
      </c>
      <c r="C93" s="4">
        <v>49.082999999999998</v>
      </c>
      <c r="D93" s="3" t="s">
        <v>31</v>
      </c>
      <c r="E93" s="3" t="s">
        <v>31</v>
      </c>
      <c r="F93" s="40">
        <v>144</v>
      </c>
      <c r="G93" s="4">
        <v>144</v>
      </c>
      <c r="H93">
        <f>IF(F93=G93,1,0)</f>
        <v>1</v>
      </c>
    </row>
    <row r="94" spans="1:8" ht="15.75" x14ac:dyDescent="0.25">
      <c r="A94" s="3" t="s">
        <v>35</v>
      </c>
      <c r="B94" s="4">
        <v>3</v>
      </c>
      <c r="C94" s="4">
        <v>0</v>
      </c>
      <c r="D94" s="7" t="s">
        <v>31</v>
      </c>
      <c r="E94" s="7" t="s">
        <v>31</v>
      </c>
      <c r="F94" s="40">
        <v>15</v>
      </c>
      <c r="G94" s="4">
        <v>15</v>
      </c>
      <c r="H94">
        <f>IF(F94=G94,1,0)</f>
        <v>1</v>
      </c>
    </row>
    <row r="95" spans="1:8" ht="15.75" x14ac:dyDescent="0.25">
      <c r="A95" s="3" t="s">
        <v>54</v>
      </c>
      <c r="B95" s="4">
        <v>22</v>
      </c>
      <c r="C95" s="4">
        <v>80.86</v>
      </c>
      <c r="D95" s="3" t="s">
        <v>31</v>
      </c>
      <c r="E95" s="3" t="s">
        <v>31</v>
      </c>
      <c r="F95" s="4">
        <v>528</v>
      </c>
      <c r="G95" s="4">
        <v>528</v>
      </c>
      <c r="H95">
        <f>IF(F95=G95,1,0)</f>
        <v>1</v>
      </c>
    </row>
    <row r="96" spans="1:8" ht="15.75" x14ac:dyDescent="0.25">
      <c r="A96" s="3" t="s">
        <v>55</v>
      </c>
      <c r="B96" s="4">
        <v>13</v>
      </c>
      <c r="C96" s="4">
        <v>174.91500000000002</v>
      </c>
      <c r="D96" s="3" t="s">
        <v>31</v>
      </c>
      <c r="E96" s="3" t="s">
        <v>31</v>
      </c>
      <c r="F96" s="40">
        <v>312</v>
      </c>
      <c r="G96" s="4">
        <v>312</v>
      </c>
      <c r="H96">
        <f>IF(F96=G96,1,0)</f>
        <v>1</v>
      </c>
    </row>
    <row r="97" spans="1:8" ht="15.75" x14ac:dyDescent="0.25">
      <c r="A97" s="3"/>
      <c r="B97" s="4">
        <v>7</v>
      </c>
      <c r="C97" s="4">
        <v>94.185000000000016</v>
      </c>
      <c r="D97" s="3" t="s">
        <v>31</v>
      </c>
      <c r="E97" s="3" t="s">
        <v>31</v>
      </c>
      <c r="F97" s="40">
        <v>168</v>
      </c>
      <c r="G97" s="4">
        <v>168</v>
      </c>
      <c r="H97">
        <f>IF(F97=G97,1,0)</f>
        <v>1</v>
      </c>
    </row>
    <row r="98" spans="1:8" ht="15.75" x14ac:dyDescent="0.25">
      <c r="A98" s="3" t="s">
        <v>57</v>
      </c>
      <c r="B98" s="4">
        <v>5</v>
      </c>
      <c r="C98" s="4">
        <v>53.84</v>
      </c>
      <c r="D98" s="3" t="s">
        <v>31</v>
      </c>
      <c r="E98" s="3" t="s">
        <v>31</v>
      </c>
      <c r="F98" s="40">
        <v>120</v>
      </c>
      <c r="G98" s="4">
        <v>120</v>
      </c>
      <c r="H98">
        <f>IF(F98=G98,1,0)</f>
        <v>1</v>
      </c>
    </row>
    <row r="99" spans="1:8" ht="15.75" x14ac:dyDescent="0.25">
      <c r="A99" s="3" t="s">
        <v>58</v>
      </c>
      <c r="B99" s="4">
        <v>1</v>
      </c>
      <c r="C99" s="4">
        <v>9.76</v>
      </c>
      <c r="D99" s="3" t="s">
        <v>31</v>
      </c>
      <c r="E99" s="3" t="s">
        <v>31</v>
      </c>
      <c r="F99" s="40">
        <v>24</v>
      </c>
      <c r="G99" s="4">
        <v>24</v>
      </c>
      <c r="H99">
        <f>IF(F99=G99,1,0)</f>
        <v>1</v>
      </c>
    </row>
    <row r="100" spans="1:8" ht="15.75" x14ac:dyDescent="0.25">
      <c r="A100" s="3" t="s">
        <v>35</v>
      </c>
      <c r="B100" s="4">
        <v>1</v>
      </c>
      <c r="C100" s="4">
        <v>9.76</v>
      </c>
      <c r="D100" s="3" t="s">
        <v>31</v>
      </c>
      <c r="E100" s="3" t="s">
        <v>31</v>
      </c>
      <c r="F100" s="40">
        <v>24</v>
      </c>
      <c r="G100" s="4">
        <v>24</v>
      </c>
      <c r="H100">
        <f>IF(F100=G100,1,0)</f>
        <v>1</v>
      </c>
    </row>
    <row r="101" spans="1:8" ht="15.75" x14ac:dyDescent="0.25">
      <c r="A101" s="3" t="s">
        <v>59</v>
      </c>
      <c r="B101" s="4">
        <v>1</v>
      </c>
      <c r="C101" s="4">
        <v>24.5</v>
      </c>
      <c r="D101" s="3" t="s">
        <v>31</v>
      </c>
      <c r="E101" s="3" t="s">
        <v>31</v>
      </c>
      <c r="F101" s="40">
        <v>24</v>
      </c>
      <c r="G101" s="4">
        <v>24</v>
      </c>
      <c r="H101">
        <f>IF(F101=G101,1,0)</f>
        <v>1</v>
      </c>
    </row>
    <row r="102" spans="1:8" ht="15.75" x14ac:dyDescent="0.25">
      <c r="A102" s="3" t="s">
        <v>59</v>
      </c>
      <c r="B102" s="4">
        <v>2</v>
      </c>
      <c r="C102" s="4">
        <v>0</v>
      </c>
      <c r="D102" s="7" t="s">
        <v>31</v>
      </c>
      <c r="E102" s="7" t="s">
        <v>31</v>
      </c>
      <c r="F102" s="40">
        <v>10</v>
      </c>
      <c r="G102" s="4">
        <v>10</v>
      </c>
      <c r="H102">
        <f>IF(F102=G102,1,0)</f>
        <v>1</v>
      </c>
    </row>
    <row r="103" spans="1:8" ht="15.75" x14ac:dyDescent="0.25">
      <c r="A103" s="3" t="s">
        <v>60</v>
      </c>
      <c r="B103" s="4">
        <v>1</v>
      </c>
      <c r="C103" s="4">
        <v>37.15</v>
      </c>
      <c r="D103" s="3" t="s">
        <v>31</v>
      </c>
      <c r="E103" s="3" t="s">
        <v>31</v>
      </c>
      <c r="F103" s="40">
        <v>24</v>
      </c>
      <c r="G103" s="4">
        <v>24</v>
      </c>
      <c r="H103">
        <f>IF(F103=G103,1,0)</f>
        <v>1</v>
      </c>
    </row>
    <row r="104" spans="1:8" ht="15.75" x14ac:dyDescent="0.25">
      <c r="A104" s="3" t="s">
        <v>60</v>
      </c>
      <c r="B104" s="4">
        <v>2</v>
      </c>
      <c r="C104" s="4">
        <v>0</v>
      </c>
      <c r="D104" s="7" t="s">
        <v>31</v>
      </c>
      <c r="E104" s="7" t="s">
        <v>31</v>
      </c>
      <c r="F104" s="40">
        <v>10</v>
      </c>
      <c r="G104" s="4">
        <v>10</v>
      </c>
      <c r="H104">
        <f>IF(F104=G104,1,0)</f>
        <v>1</v>
      </c>
    </row>
    <row r="105" spans="1:8" ht="15.75" x14ac:dyDescent="0.25">
      <c r="A105" s="3" t="s">
        <v>61</v>
      </c>
      <c r="B105" s="4">
        <v>1</v>
      </c>
      <c r="C105" s="4">
        <v>21.7</v>
      </c>
      <c r="D105" s="3" t="s">
        <v>31</v>
      </c>
      <c r="E105" s="3" t="s">
        <v>31</v>
      </c>
      <c r="F105" s="40">
        <v>24</v>
      </c>
      <c r="G105" s="4">
        <v>24</v>
      </c>
      <c r="H105">
        <f>IF(F105=G105,1,0)</f>
        <v>1</v>
      </c>
    </row>
    <row r="106" spans="1:8" ht="15.75" x14ac:dyDescent="0.25">
      <c r="A106" s="3" t="s">
        <v>62</v>
      </c>
      <c r="B106" s="4">
        <v>1</v>
      </c>
      <c r="C106" s="4">
        <v>21.7</v>
      </c>
      <c r="D106" s="3" t="s">
        <v>31</v>
      </c>
      <c r="E106" s="3" t="s">
        <v>31</v>
      </c>
      <c r="F106" s="40">
        <v>24</v>
      </c>
      <c r="G106" s="4">
        <v>24</v>
      </c>
      <c r="H106">
        <f>IF(F106=G106,1,0)</f>
        <v>1</v>
      </c>
    </row>
    <row r="107" spans="1:8" ht="15.75" x14ac:dyDescent="0.25">
      <c r="A107" s="3" t="s">
        <v>59</v>
      </c>
      <c r="B107" s="4">
        <v>1</v>
      </c>
      <c r="C107" s="4">
        <v>24.38</v>
      </c>
      <c r="D107" s="3" t="s">
        <v>31</v>
      </c>
      <c r="E107" s="3" t="s">
        <v>31</v>
      </c>
      <c r="F107" s="40">
        <v>24</v>
      </c>
      <c r="G107" s="4">
        <v>24</v>
      </c>
      <c r="H107">
        <f>IF(F107=G107,1,0)</f>
        <v>1</v>
      </c>
    </row>
    <row r="108" spans="1:8" ht="15.75" x14ac:dyDescent="0.25">
      <c r="A108" s="3" t="s">
        <v>63</v>
      </c>
      <c r="B108" s="4">
        <v>2</v>
      </c>
      <c r="C108" s="4">
        <v>32</v>
      </c>
      <c r="D108" s="3" t="s">
        <v>31</v>
      </c>
      <c r="E108" s="3" t="s">
        <v>31</v>
      </c>
      <c r="F108" s="40">
        <v>48</v>
      </c>
      <c r="G108" s="4">
        <v>48</v>
      </c>
      <c r="H108">
        <f>IF(F108=G108,1,0)</f>
        <v>1</v>
      </c>
    </row>
    <row r="109" spans="1:8" ht="15.75" x14ac:dyDescent="0.25">
      <c r="A109" s="3" t="s">
        <v>64</v>
      </c>
      <c r="B109" s="4">
        <v>3</v>
      </c>
      <c r="C109" s="4">
        <v>42</v>
      </c>
      <c r="D109" s="3" t="s">
        <v>31</v>
      </c>
      <c r="E109" s="3" t="s">
        <v>31</v>
      </c>
      <c r="F109" s="40">
        <v>72</v>
      </c>
      <c r="G109" s="4">
        <v>72</v>
      </c>
      <c r="H109">
        <f>IF(F109=G109,1,0)</f>
        <v>1</v>
      </c>
    </row>
    <row r="110" spans="1:8" ht="15.75" x14ac:dyDescent="0.25">
      <c r="A110" s="3" t="s">
        <v>65</v>
      </c>
      <c r="B110" s="4">
        <v>1</v>
      </c>
      <c r="C110" s="4">
        <v>2.4500000000000002</v>
      </c>
      <c r="D110" s="3" t="s">
        <v>31</v>
      </c>
      <c r="E110" s="3" t="s">
        <v>31</v>
      </c>
      <c r="F110" s="40">
        <v>24</v>
      </c>
      <c r="G110" s="4">
        <v>24</v>
      </c>
      <c r="H110">
        <f>IF(F110=G110,1,0)</f>
        <v>1</v>
      </c>
    </row>
    <row r="111" spans="1:8" ht="15.75" x14ac:dyDescent="0.25">
      <c r="A111" s="3" t="s">
        <v>35</v>
      </c>
      <c r="B111" s="4">
        <v>6</v>
      </c>
      <c r="C111" s="4">
        <v>0</v>
      </c>
      <c r="D111" s="7" t="s">
        <v>31</v>
      </c>
      <c r="E111" s="7" t="s">
        <v>31</v>
      </c>
      <c r="F111" s="40">
        <v>30</v>
      </c>
      <c r="G111" s="4">
        <v>30</v>
      </c>
      <c r="H111">
        <f>IF(F111=G111,1,0)</f>
        <v>1</v>
      </c>
    </row>
    <row r="112" spans="1:8" ht="15.75" x14ac:dyDescent="0.25">
      <c r="A112" s="3" t="s">
        <v>69</v>
      </c>
      <c r="B112" s="4">
        <v>1</v>
      </c>
      <c r="C112" s="4">
        <v>3</v>
      </c>
      <c r="D112" s="3" t="s">
        <v>31</v>
      </c>
      <c r="E112" s="3" t="s">
        <v>31</v>
      </c>
      <c r="F112" s="40">
        <v>24</v>
      </c>
      <c r="G112" s="4">
        <v>24</v>
      </c>
      <c r="H112">
        <f>IF(F112=G112,1,0)</f>
        <v>1</v>
      </c>
    </row>
    <row r="113" spans="1:8" ht="15.75" x14ac:dyDescent="0.25">
      <c r="A113" s="3" t="s">
        <v>70</v>
      </c>
      <c r="B113" s="4">
        <v>2</v>
      </c>
      <c r="C113" s="9">
        <v>56.573333333333338</v>
      </c>
      <c r="D113" s="3" t="s">
        <v>31</v>
      </c>
      <c r="E113" s="3" t="s">
        <v>31</v>
      </c>
      <c r="F113" s="40">
        <v>120</v>
      </c>
      <c r="G113" s="4">
        <v>120</v>
      </c>
      <c r="H113">
        <f>IF(F113=G113,1,0)</f>
        <v>1</v>
      </c>
    </row>
    <row r="114" spans="1:8" ht="15.75" x14ac:dyDescent="0.25">
      <c r="A114" s="3" t="s">
        <v>35</v>
      </c>
      <c r="B114" s="4">
        <v>1</v>
      </c>
      <c r="C114" s="9">
        <v>28.286666666666665</v>
      </c>
      <c r="D114" s="3" t="s">
        <v>31</v>
      </c>
      <c r="E114" s="3" t="s">
        <v>31</v>
      </c>
      <c r="F114" s="40">
        <v>24</v>
      </c>
      <c r="G114" s="4">
        <v>24</v>
      </c>
      <c r="H114">
        <f>IF(F114=G114,1,0)</f>
        <v>1</v>
      </c>
    </row>
    <row r="115" spans="1:8" ht="15.75" x14ac:dyDescent="0.25">
      <c r="A115" s="3" t="s">
        <v>35</v>
      </c>
      <c r="B115" s="4">
        <v>2</v>
      </c>
      <c r="C115" s="4">
        <v>0</v>
      </c>
      <c r="D115" s="7" t="s">
        <v>31</v>
      </c>
      <c r="E115" s="7" t="s">
        <v>31</v>
      </c>
      <c r="F115" s="40">
        <v>10</v>
      </c>
      <c r="G115" s="4">
        <v>10</v>
      </c>
      <c r="H115">
        <f>IF(F115=G115,1,0)</f>
        <v>1</v>
      </c>
    </row>
    <row r="116" spans="1:8" ht="15.75" x14ac:dyDescent="0.25">
      <c r="A116" s="3" t="s">
        <v>71</v>
      </c>
      <c r="B116" s="4">
        <v>4</v>
      </c>
      <c r="C116" s="9">
        <v>49.066666666666663</v>
      </c>
      <c r="D116" s="3" t="s">
        <v>31</v>
      </c>
      <c r="E116" s="3" t="s">
        <v>31</v>
      </c>
      <c r="F116" s="40">
        <v>96</v>
      </c>
      <c r="G116" s="4">
        <v>96</v>
      </c>
      <c r="H116">
        <f>IF(F116=G116,1,0)</f>
        <v>1</v>
      </c>
    </row>
    <row r="117" spans="1:8" ht="15.75" x14ac:dyDescent="0.25">
      <c r="A117" s="3" t="s">
        <v>72</v>
      </c>
      <c r="B117" s="4">
        <v>1</v>
      </c>
      <c r="C117" s="4">
        <v>12.33</v>
      </c>
      <c r="D117" s="3" t="s">
        <v>31</v>
      </c>
      <c r="E117" s="3" t="s">
        <v>31</v>
      </c>
      <c r="F117" s="40">
        <v>24</v>
      </c>
      <c r="G117" s="4">
        <v>24</v>
      </c>
      <c r="H117">
        <f>IF(F117=G117,1,0)</f>
        <v>1</v>
      </c>
    </row>
    <row r="118" spans="1:8" ht="15.75" x14ac:dyDescent="0.25">
      <c r="A118" s="3" t="s">
        <v>73</v>
      </c>
      <c r="B118" s="4">
        <v>1</v>
      </c>
      <c r="C118" s="4">
        <v>13.33</v>
      </c>
      <c r="D118" s="3" t="s">
        <v>31</v>
      </c>
      <c r="E118" s="3" t="s">
        <v>31</v>
      </c>
      <c r="F118" s="40">
        <v>24</v>
      </c>
      <c r="G118" s="4">
        <v>24</v>
      </c>
      <c r="H118">
        <f>IF(F118=G118,1,0)</f>
        <v>1</v>
      </c>
    </row>
    <row r="119" spans="1:8" ht="15.75" x14ac:dyDescent="0.25">
      <c r="A119" s="3" t="s">
        <v>74</v>
      </c>
      <c r="B119" s="4">
        <v>50</v>
      </c>
      <c r="C119" s="4">
        <v>136.5</v>
      </c>
      <c r="D119" s="3" t="s">
        <v>31</v>
      </c>
      <c r="E119" s="3" t="s">
        <v>31</v>
      </c>
      <c r="F119" s="40">
        <v>1200</v>
      </c>
      <c r="G119" s="4">
        <v>1200</v>
      </c>
      <c r="H119">
        <f>IF(F119=G119,1,0)</f>
        <v>1</v>
      </c>
    </row>
    <row r="120" spans="1:8" ht="15.75" x14ac:dyDescent="0.25">
      <c r="A120" s="3" t="s">
        <v>75</v>
      </c>
      <c r="B120" s="4">
        <v>1</v>
      </c>
      <c r="C120" s="4">
        <v>25.2</v>
      </c>
      <c r="D120" s="3" t="s">
        <v>31</v>
      </c>
      <c r="E120" s="3" t="s">
        <v>31</v>
      </c>
      <c r="F120" s="40">
        <v>24</v>
      </c>
      <c r="G120" s="4">
        <v>24</v>
      </c>
      <c r="H120">
        <f>IF(F120=G120,1,0)</f>
        <v>1</v>
      </c>
    </row>
    <row r="121" spans="1:8" ht="15.75" x14ac:dyDescent="0.25">
      <c r="A121" s="3" t="s">
        <v>76</v>
      </c>
      <c r="B121" s="4">
        <v>1</v>
      </c>
      <c r="C121" s="4">
        <v>33.92</v>
      </c>
      <c r="D121" s="3" t="s">
        <v>31</v>
      </c>
      <c r="E121" s="3" t="s">
        <v>31</v>
      </c>
      <c r="F121" s="40">
        <v>24</v>
      </c>
      <c r="G121" s="4">
        <v>24</v>
      </c>
      <c r="H121">
        <f>IF(F121=G121,1,0)</f>
        <v>1</v>
      </c>
    </row>
    <row r="122" spans="1:8" ht="15.75" x14ac:dyDescent="0.25">
      <c r="A122" s="3" t="s">
        <v>76</v>
      </c>
      <c r="B122" s="4">
        <v>1</v>
      </c>
      <c r="C122" s="4">
        <v>0</v>
      </c>
      <c r="D122" s="7" t="s">
        <v>31</v>
      </c>
      <c r="E122" s="7" t="s">
        <v>31</v>
      </c>
      <c r="F122" s="40">
        <v>5</v>
      </c>
      <c r="G122" s="4">
        <v>5</v>
      </c>
      <c r="H122">
        <f>IF(F122=G122,1,0)</f>
        <v>1</v>
      </c>
    </row>
    <row r="123" spans="1:8" ht="15.75" x14ac:dyDescent="0.25">
      <c r="A123" s="3" t="s">
        <v>77</v>
      </c>
      <c r="B123" s="4">
        <v>6</v>
      </c>
      <c r="C123" s="4">
        <v>85.248000000000005</v>
      </c>
      <c r="D123" s="3" t="s">
        <v>31</v>
      </c>
      <c r="E123" s="3" t="s">
        <v>31</v>
      </c>
      <c r="F123" s="40">
        <v>144</v>
      </c>
      <c r="G123" s="4">
        <v>144</v>
      </c>
      <c r="H123">
        <f>IF(F123=G123,1,0)</f>
        <v>1</v>
      </c>
    </row>
    <row r="124" spans="1:8" ht="15.75" x14ac:dyDescent="0.25">
      <c r="A124" s="3"/>
      <c r="B124" s="4">
        <v>4</v>
      </c>
      <c r="C124" s="4">
        <v>56.832000000000008</v>
      </c>
      <c r="D124" s="3" t="s">
        <v>31</v>
      </c>
      <c r="E124" s="3" t="s">
        <v>31</v>
      </c>
      <c r="F124" s="40">
        <v>96</v>
      </c>
      <c r="G124" s="4">
        <v>96</v>
      </c>
      <c r="H124">
        <f>IF(F124=G124,1,0)</f>
        <v>1</v>
      </c>
    </row>
    <row r="125" spans="1:8" ht="15.75" x14ac:dyDescent="0.25">
      <c r="A125" s="3" t="s">
        <v>78</v>
      </c>
      <c r="B125" s="4">
        <v>2</v>
      </c>
      <c r="C125" s="4">
        <v>15.29</v>
      </c>
      <c r="D125" s="3" t="s">
        <v>31</v>
      </c>
      <c r="E125" s="3" t="s">
        <v>31</v>
      </c>
      <c r="F125" s="40">
        <v>48</v>
      </c>
      <c r="G125" s="4">
        <v>48</v>
      </c>
      <c r="H125">
        <f>IF(F125=G125,1,0)</f>
        <v>1</v>
      </c>
    </row>
    <row r="126" spans="1:8" ht="15.75" x14ac:dyDescent="0.25">
      <c r="A126" s="3" t="s">
        <v>79</v>
      </c>
      <c r="B126" s="4">
        <v>1</v>
      </c>
      <c r="C126" s="4">
        <v>26.8</v>
      </c>
      <c r="D126" s="3" t="s">
        <v>31</v>
      </c>
      <c r="E126" s="3" t="s">
        <v>31</v>
      </c>
      <c r="F126" s="40">
        <v>24</v>
      </c>
      <c r="G126" s="4">
        <v>24</v>
      </c>
      <c r="H126">
        <f>IF(F126=G126,1,0)</f>
        <v>1</v>
      </c>
    </row>
    <row r="127" spans="1:8" ht="15.75" x14ac:dyDescent="0.25">
      <c r="A127" s="3" t="s">
        <v>80</v>
      </c>
      <c r="B127" s="4">
        <v>1</v>
      </c>
      <c r="C127" s="4">
        <v>2.94</v>
      </c>
      <c r="D127" s="3" t="s">
        <v>31</v>
      </c>
      <c r="E127" s="3" t="s">
        <v>31</v>
      </c>
      <c r="F127" s="40">
        <v>24</v>
      </c>
      <c r="G127" s="4">
        <v>24</v>
      </c>
      <c r="H127">
        <f>IF(F127=G127,1,0)</f>
        <v>1</v>
      </c>
    </row>
    <row r="128" spans="1:8" ht="15.75" x14ac:dyDescent="0.25">
      <c r="A128" s="3" t="s">
        <v>80</v>
      </c>
      <c r="B128" s="4">
        <v>1</v>
      </c>
      <c r="C128" s="4">
        <v>0</v>
      </c>
      <c r="D128" s="7" t="s">
        <v>31</v>
      </c>
      <c r="E128" s="7" t="s">
        <v>31</v>
      </c>
      <c r="F128" s="40">
        <v>5</v>
      </c>
      <c r="G128" s="4">
        <v>5</v>
      </c>
      <c r="H128">
        <f>IF(F128=G128,1,0)</f>
        <v>1</v>
      </c>
    </row>
    <row r="129" spans="1:8" ht="15.75" x14ac:dyDescent="0.25">
      <c r="A129" s="3" t="s">
        <v>81</v>
      </c>
      <c r="B129" s="4">
        <v>1</v>
      </c>
      <c r="C129" s="4">
        <v>12.33</v>
      </c>
      <c r="D129" s="3" t="s">
        <v>31</v>
      </c>
      <c r="E129" s="3" t="s">
        <v>31</v>
      </c>
      <c r="F129" s="40">
        <v>24</v>
      </c>
      <c r="G129" s="4">
        <v>24</v>
      </c>
      <c r="H129">
        <f>IF(F129=G129,1,0)</f>
        <v>1</v>
      </c>
    </row>
    <row r="130" spans="1:8" ht="15.75" x14ac:dyDescent="0.25">
      <c r="A130" s="3" t="s">
        <v>82</v>
      </c>
      <c r="B130" s="4">
        <v>1</v>
      </c>
      <c r="C130" s="4">
        <v>12</v>
      </c>
      <c r="D130" s="3" t="s">
        <v>31</v>
      </c>
      <c r="E130" s="3" t="s">
        <v>31</v>
      </c>
      <c r="F130" s="40">
        <v>24</v>
      </c>
      <c r="G130" s="4">
        <v>24</v>
      </c>
      <c r="H130">
        <f>IF(F130=G130,1,0)</f>
        <v>1</v>
      </c>
    </row>
    <row r="131" spans="1:8" ht="15.75" x14ac:dyDescent="0.25">
      <c r="A131" s="3" t="s">
        <v>83</v>
      </c>
      <c r="B131" s="4">
        <v>1</v>
      </c>
      <c r="C131" s="4">
        <v>2.5649999999999999</v>
      </c>
      <c r="D131" s="3" t="s">
        <v>31</v>
      </c>
      <c r="E131" s="3" t="s">
        <v>31</v>
      </c>
      <c r="F131" s="40">
        <v>24</v>
      </c>
      <c r="G131" s="4">
        <v>24</v>
      </c>
      <c r="H131">
        <f>IF(F131=G131,1,0)</f>
        <v>1</v>
      </c>
    </row>
    <row r="132" spans="1:8" ht="15.75" x14ac:dyDescent="0.25">
      <c r="A132" s="3" t="s">
        <v>76</v>
      </c>
      <c r="B132" s="4">
        <v>1</v>
      </c>
      <c r="C132" s="4">
        <v>36</v>
      </c>
      <c r="D132" s="3" t="s">
        <v>31</v>
      </c>
      <c r="E132" s="3" t="s">
        <v>31</v>
      </c>
      <c r="F132" s="40">
        <v>24</v>
      </c>
      <c r="G132" s="4">
        <v>24</v>
      </c>
      <c r="H132">
        <f>IF(F132=G132,1,0)</f>
        <v>1</v>
      </c>
    </row>
    <row r="133" spans="1:8" ht="15.75" x14ac:dyDescent="0.25">
      <c r="A133" s="3" t="s">
        <v>76</v>
      </c>
      <c r="B133" s="4">
        <v>2</v>
      </c>
      <c r="C133" s="4">
        <v>0</v>
      </c>
      <c r="D133" s="7" t="s">
        <v>31</v>
      </c>
      <c r="E133" s="7" t="s">
        <v>31</v>
      </c>
      <c r="F133" s="40">
        <v>10</v>
      </c>
      <c r="G133" s="4">
        <v>10</v>
      </c>
      <c r="H133">
        <f>IF(F133=G133,1,0)</f>
        <v>1</v>
      </c>
    </row>
    <row r="134" spans="1:8" ht="15.75" x14ac:dyDescent="0.25">
      <c r="A134" s="3" t="s">
        <v>84</v>
      </c>
      <c r="B134" s="4">
        <v>1</v>
      </c>
      <c r="C134" s="4">
        <v>12</v>
      </c>
      <c r="D134" s="3" t="s">
        <v>31</v>
      </c>
      <c r="E134" s="3" t="s">
        <v>31</v>
      </c>
      <c r="F134" s="40">
        <v>24</v>
      </c>
      <c r="G134" s="4">
        <v>24</v>
      </c>
      <c r="H134">
        <f>IF(F134=G134,1,0)</f>
        <v>1</v>
      </c>
    </row>
    <row r="135" spans="1:8" ht="15.75" x14ac:dyDescent="0.25">
      <c r="A135" s="3" t="s">
        <v>85</v>
      </c>
      <c r="B135" s="4">
        <v>1</v>
      </c>
      <c r="C135" s="4">
        <v>9</v>
      </c>
      <c r="D135" s="3" t="s">
        <v>31</v>
      </c>
      <c r="E135" s="3" t="s">
        <v>31</v>
      </c>
      <c r="F135" s="40">
        <v>24</v>
      </c>
      <c r="G135" s="4">
        <v>24</v>
      </c>
      <c r="H135">
        <f>IF(F135=G135,1,0)</f>
        <v>1</v>
      </c>
    </row>
    <row r="136" spans="1:8" ht="15.75" x14ac:dyDescent="0.25">
      <c r="A136" s="3" t="s">
        <v>86</v>
      </c>
      <c r="B136" s="4">
        <v>1</v>
      </c>
      <c r="C136" s="4">
        <v>12.33</v>
      </c>
      <c r="D136" s="3" t="s">
        <v>31</v>
      </c>
      <c r="E136" s="3" t="s">
        <v>31</v>
      </c>
      <c r="F136" s="40">
        <v>24</v>
      </c>
      <c r="G136" s="4">
        <v>24</v>
      </c>
      <c r="H136">
        <f>IF(F136=G136,1,0)</f>
        <v>1</v>
      </c>
    </row>
    <row r="137" spans="1:8" ht="15.75" x14ac:dyDescent="0.25">
      <c r="A137" s="3" t="s">
        <v>87</v>
      </c>
      <c r="B137" s="4">
        <v>1</v>
      </c>
      <c r="C137" s="4">
        <v>16.440000000000001</v>
      </c>
      <c r="D137" s="3" t="s">
        <v>31</v>
      </c>
      <c r="E137" s="3" t="s">
        <v>31</v>
      </c>
      <c r="F137" s="40">
        <v>24</v>
      </c>
      <c r="G137" s="4">
        <v>24</v>
      </c>
      <c r="H137">
        <f>IF(F137=G137,1,0)</f>
        <v>1</v>
      </c>
    </row>
    <row r="138" spans="1:8" ht="15.75" x14ac:dyDescent="0.25">
      <c r="A138" s="3" t="s">
        <v>88</v>
      </c>
      <c r="B138" s="4">
        <v>1</v>
      </c>
      <c r="C138" s="4">
        <v>9.5</v>
      </c>
      <c r="D138" s="3" t="s">
        <v>31</v>
      </c>
      <c r="E138" s="3" t="s">
        <v>31</v>
      </c>
      <c r="F138" s="40">
        <v>24</v>
      </c>
      <c r="G138" s="4">
        <v>24</v>
      </c>
      <c r="H138">
        <f>IF(F138=G138,1,0)</f>
        <v>1</v>
      </c>
    </row>
    <row r="139" spans="1:8" ht="15.75" x14ac:dyDescent="0.25">
      <c r="A139" s="3" t="s">
        <v>88</v>
      </c>
      <c r="B139" s="4">
        <v>1</v>
      </c>
      <c r="C139" s="4">
        <v>9</v>
      </c>
      <c r="D139" s="3" t="s">
        <v>31</v>
      </c>
      <c r="E139" s="3" t="s">
        <v>31</v>
      </c>
      <c r="F139" s="40">
        <v>24</v>
      </c>
      <c r="G139" s="4">
        <v>24</v>
      </c>
      <c r="H139">
        <f>IF(F139=G139,1,0)</f>
        <v>1</v>
      </c>
    </row>
    <row r="140" spans="1:8" ht="15.75" x14ac:dyDescent="0.25">
      <c r="A140" s="3" t="s">
        <v>89</v>
      </c>
      <c r="B140" s="4">
        <v>1</v>
      </c>
      <c r="C140" s="4">
        <v>12.33</v>
      </c>
      <c r="D140" s="3" t="s">
        <v>31</v>
      </c>
      <c r="E140" s="3" t="s">
        <v>31</v>
      </c>
      <c r="F140" s="40">
        <v>24</v>
      </c>
      <c r="G140" s="4">
        <v>24</v>
      </c>
      <c r="H140">
        <f>IF(F140=G140,1,0)</f>
        <v>1</v>
      </c>
    </row>
    <row r="141" spans="1:8" ht="15.75" x14ac:dyDescent="0.25">
      <c r="A141" s="3" t="s">
        <v>87</v>
      </c>
      <c r="B141" s="4">
        <v>1</v>
      </c>
      <c r="C141" s="4">
        <v>12.33</v>
      </c>
      <c r="D141" s="3" t="s">
        <v>31</v>
      </c>
      <c r="E141" s="3" t="s">
        <v>31</v>
      </c>
      <c r="F141" s="40">
        <v>24</v>
      </c>
      <c r="G141" s="4">
        <v>24</v>
      </c>
      <c r="H141">
        <f>IF(F141=G141,1,0)</f>
        <v>1</v>
      </c>
    </row>
    <row r="142" spans="1:8" ht="15.75" x14ac:dyDescent="0.25">
      <c r="A142" s="3" t="s">
        <v>90</v>
      </c>
      <c r="B142" s="4">
        <v>1</v>
      </c>
      <c r="C142" s="4">
        <v>16</v>
      </c>
      <c r="D142" s="3" t="s">
        <v>31</v>
      </c>
      <c r="E142" s="3" t="s">
        <v>31</v>
      </c>
      <c r="F142" s="40">
        <v>24</v>
      </c>
      <c r="G142" s="4">
        <v>24</v>
      </c>
      <c r="H142">
        <f>IF(F142=G142,1,0)</f>
        <v>1</v>
      </c>
    </row>
    <row r="143" spans="1:8" ht="15.75" x14ac:dyDescent="0.25">
      <c r="A143" s="3" t="s">
        <v>91</v>
      </c>
      <c r="B143" s="4">
        <v>1</v>
      </c>
      <c r="C143" s="4">
        <v>11.6</v>
      </c>
      <c r="D143" s="3" t="s">
        <v>31</v>
      </c>
      <c r="E143" s="3" t="s">
        <v>31</v>
      </c>
      <c r="F143" s="40">
        <v>24</v>
      </c>
      <c r="G143" s="4">
        <v>24</v>
      </c>
      <c r="H143">
        <f>IF(F143=G143,1,0)</f>
        <v>1</v>
      </c>
    </row>
    <row r="144" spans="1:8" ht="15.75" x14ac:dyDescent="0.25">
      <c r="A144" s="3" t="s">
        <v>91</v>
      </c>
      <c r="B144" s="4">
        <v>1</v>
      </c>
      <c r="C144" s="4">
        <v>0</v>
      </c>
      <c r="D144" s="7" t="s">
        <v>31</v>
      </c>
      <c r="E144" s="7" t="s">
        <v>31</v>
      </c>
      <c r="F144" s="40">
        <v>5</v>
      </c>
      <c r="G144" s="4">
        <v>5</v>
      </c>
      <c r="H144">
        <f>IF(F144=G144,1,0)</f>
        <v>1</v>
      </c>
    </row>
    <row r="145" spans="1:8" ht="15.75" x14ac:dyDescent="0.25">
      <c r="A145" s="3" t="s">
        <v>92</v>
      </c>
      <c r="B145" s="4">
        <v>1</v>
      </c>
      <c r="C145" s="4">
        <v>16</v>
      </c>
      <c r="D145" s="3" t="s">
        <v>31</v>
      </c>
      <c r="E145" s="3" t="s">
        <v>31</v>
      </c>
      <c r="F145" s="40">
        <v>24</v>
      </c>
      <c r="G145" s="4">
        <v>24</v>
      </c>
      <c r="H145">
        <f>IF(F145=G145,1,0)</f>
        <v>1</v>
      </c>
    </row>
    <row r="146" spans="1:8" ht="15.75" x14ac:dyDescent="0.25">
      <c r="A146" s="3" t="s">
        <v>93</v>
      </c>
      <c r="B146" s="4">
        <v>1</v>
      </c>
      <c r="C146" s="4">
        <v>16</v>
      </c>
      <c r="D146" s="3" t="s">
        <v>31</v>
      </c>
      <c r="E146" s="3" t="s">
        <v>31</v>
      </c>
      <c r="F146" s="40">
        <v>24</v>
      </c>
      <c r="G146" s="4">
        <v>24</v>
      </c>
      <c r="H146">
        <f>IF(F146=G146,1,0)</f>
        <v>1</v>
      </c>
    </row>
    <row r="147" spans="1:8" ht="15.75" x14ac:dyDescent="0.25">
      <c r="A147" s="3" t="s">
        <v>94</v>
      </c>
      <c r="B147" s="4">
        <v>1</v>
      </c>
      <c r="C147" s="4">
        <v>19.27</v>
      </c>
      <c r="D147" s="3" t="s">
        <v>31</v>
      </c>
      <c r="E147" s="3" t="s">
        <v>31</v>
      </c>
      <c r="F147" s="40">
        <v>24</v>
      </c>
      <c r="G147" s="4">
        <v>24</v>
      </c>
      <c r="H147">
        <f>IF(F147=G147,1,0)</f>
        <v>1</v>
      </c>
    </row>
    <row r="148" spans="1:8" ht="15.75" x14ac:dyDescent="0.25">
      <c r="A148" s="3" t="s">
        <v>95</v>
      </c>
      <c r="B148" s="4">
        <v>1</v>
      </c>
      <c r="C148" s="4">
        <v>20</v>
      </c>
      <c r="D148" s="3" t="s">
        <v>31</v>
      </c>
      <c r="E148" s="3" t="s">
        <v>31</v>
      </c>
      <c r="F148" s="40">
        <v>24</v>
      </c>
      <c r="G148" s="4">
        <v>24</v>
      </c>
      <c r="H148">
        <f>IF(F148=G148,1,0)</f>
        <v>1</v>
      </c>
    </row>
    <row r="149" spans="1:8" ht="15.75" x14ac:dyDescent="0.25">
      <c r="A149" s="3" t="s">
        <v>96</v>
      </c>
      <c r="B149" s="4">
        <v>1</v>
      </c>
      <c r="C149" s="4">
        <v>3.03</v>
      </c>
      <c r="D149" s="3" t="s">
        <v>31</v>
      </c>
      <c r="E149" s="3" t="s">
        <v>31</v>
      </c>
      <c r="F149" s="40">
        <v>24</v>
      </c>
      <c r="G149" s="4">
        <v>24</v>
      </c>
      <c r="H149">
        <f>IF(F149=G149,1,0)</f>
        <v>1</v>
      </c>
    </row>
    <row r="150" spans="1:8" ht="15.75" x14ac:dyDescent="0.25">
      <c r="A150" s="3" t="s">
        <v>97</v>
      </c>
      <c r="B150" s="4">
        <v>2</v>
      </c>
      <c r="C150" s="4">
        <v>68</v>
      </c>
      <c r="D150" s="3" t="s">
        <v>31</v>
      </c>
      <c r="E150" s="3" t="s">
        <v>31</v>
      </c>
      <c r="F150" s="40">
        <v>48</v>
      </c>
      <c r="G150" s="4">
        <v>48</v>
      </c>
      <c r="H150">
        <f>IF(F150=G150,1,0)</f>
        <v>1</v>
      </c>
    </row>
    <row r="151" spans="1:8" ht="15.75" x14ac:dyDescent="0.25">
      <c r="A151" s="3" t="s">
        <v>35</v>
      </c>
      <c r="B151" s="4">
        <v>2</v>
      </c>
      <c r="C151" s="4">
        <v>0</v>
      </c>
      <c r="D151" s="7" t="s">
        <v>31</v>
      </c>
      <c r="E151" s="7" t="s">
        <v>31</v>
      </c>
      <c r="F151" s="40">
        <v>10</v>
      </c>
      <c r="G151" s="4">
        <v>10</v>
      </c>
      <c r="H151">
        <f>IF(F151=G151,1,0)</f>
        <v>1</v>
      </c>
    </row>
    <row r="152" spans="1:8" ht="15.75" x14ac:dyDescent="0.25">
      <c r="A152" s="3" t="s">
        <v>98</v>
      </c>
      <c r="B152" s="4">
        <v>1</v>
      </c>
      <c r="C152" s="4">
        <v>3</v>
      </c>
      <c r="D152" s="3" t="s">
        <v>31</v>
      </c>
      <c r="E152" s="3" t="s">
        <v>31</v>
      </c>
      <c r="F152" s="40">
        <v>24</v>
      </c>
      <c r="G152" s="4">
        <v>24</v>
      </c>
      <c r="H152">
        <f>IF(F152=G152,1,0)</f>
        <v>1</v>
      </c>
    </row>
    <row r="153" spans="1:8" ht="15.75" x14ac:dyDescent="0.25">
      <c r="A153" s="3" t="s">
        <v>99</v>
      </c>
      <c r="B153" s="4">
        <v>1</v>
      </c>
      <c r="C153" s="4">
        <v>16.329999999999998</v>
      </c>
      <c r="D153" s="3" t="s">
        <v>31</v>
      </c>
      <c r="E153" s="3" t="s">
        <v>31</v>
      </c>
      <c r="F153" s="40">
        <v>24</v>
      </c>
      <c r="G153" s="4">
        <v>24</v>
      </c>
      <c r="H153">
        <f>IF(F153=G153,1,0)</f>
        <v>1</v>
      </c>
    </row>
    <row r="154" spans="1:8" ht="15.75" x14ac:dyDescent="0.25">
      <c r="A154" s="3" t="s">
        <v>35</v>
      </c>
      <c r="B154" s="4">
        <v>1</v>
      </c>
      <c r="C154" s="4">
        <v>10</v>
      </c>
      <c r="D154" s="3" t="s">
        <v>31</v>
      </c>
      <c r="E154" s="3" t="s">
        <v>31</v>
      </c>
      <c r="F154" s="40">
        <v>24</v>
      </c>
      <c r="G154" s="4">
        <v>24</v>
      </c>
      <c r="H154">
        <f>IF(F154=G154,1,0)</f>
        <v>1</v>
      </c>
    </row>
    <row r="155" spans="1:8" ht="15.75" x14ac:dyDescent="0.25">
      <c r="A155" s="3" t="s">
        <v>100</v>
      </c>
      <c r="B155" s="4">
        <v>2</v>
      </c>
      <c r="C155" s="4">
        <v>25.93</v>
      </c>
      <c r="D155" s="3" t="s">
        <v>31</v>
      </c>
      <c r="E155" s="3" t="s">
        <v>31</v>
      </c>
      <c r="F155" s="40">
        <v>48</v>
      </c>
      <c r="G155" s="4">
        <v>48</v>
      </c>
      <c r="H155">
        <f>IF(F155=G155,1,0)</f>
        <v>1</v>
      </c>
    </row>
    <row r="156" spans="1:8" ht="15.75" x14ac:dyDescent="0.25">
      <c r="A156" s="3" t="s">
        <v>101</v>
      </c>
      <c r="B156" s="4">
        <v>1</v>
      </c>
      <c r="C156" s="4">
        <v>2.04</v>
      </c>
      <c r="D156" s="3" t="s">
        <v>31</v>
      </c>
      <c r="E156" s="3" t="s">
        <v>31</v>
      </c>
      <c r="F156" s="40">
        <v>24</v>
      </c>
      <c r="G156" s="4">
        <v>24</v>
      </c>
      <c r="H156">
        <f>IF(F156=G156,1,0)</f>
        <v>1</v>
      </c>
    </row>
    <row r="157" spans="1:8" ht="15.75" x14ac:dyDescent="0.25">
      <c r="A157" s="3" t="s">
        <v>102</v>
      </c>
      <c r="B157" s="4">
        <v>1</v>
      </c>
      <c r="C157" s="4">
        <v>22</v>
      </c>
      <c r="D157" s="3" t="s">
        <v>31</v>
      </c>
      <c r="E157" s="3" t="s">
        <v>31</v>
      </c>
      <c r="F157" s="40">
        <v>40</v>
      </c>
      <c r="G157" s="4">
        <v>40</v>
      </c>
      <c r="H157">
        <f>IF(F157=G157,1,0)</f>
        <v>1</v>
      </c>
    </row>
    <row r="158" spans="1:8" ht="15.75" x14ac:dyDescent="0.25">
      <c r="A158" s="3"/>
      <c r="B158" s="4">
        <v>1</v>
      </c>
      <c r="C158" s="4">
        <v>0</v>
      </c>
      <c r="D158" s="7" t="s">
        <v>31</v>
      </c>
      <c r="E158" s="7" t="s">
        <v>31</v>
      </c>
      <c r="F158" s="40">
        <v>5</v>
      </c>
      <c r="G158" s="4">
        <v>5</v>
      </c>
      <c r="H158">
        <f>IF(F158=G158,1,0)</f>
        <v>1</v>
      </c>
    </row>
    <row r="159" spans="1:8" ht="15.75" x14ac:dyDescent="0.25">
      <c r="A159" s="3" t="s">
        <v>104</v>
      </c>
      <c r="B159" s="4">
        <v>2</v>
      </c>
      <c r="C159" s="4">
        <v>46</v>
      </c>
      <c r="D159" s="3" t="s">
        <v>31</v>
      </c>
      <c r="E159" s="3" t="s">
        <v>31</v>
      </c>
      <c r="F159" s="40">
        <v>48</v>
      </c>
      <c r="G159" s="4">
        <v>48</v>
      </c>
      <c r="H159">
        <f>IF(F159=G159,1,0)</f>
        <v>1</v>
      </c>
    </row>
    <row r="160" spans="1:8" ht="15.75" x14ac:dyDescent="0.25">
      <c r="A160" s="3" t="s">
        <v>105</v>
      </c>
      <c r="B160" s="4">
        <v>1</v>
      </c>
      <c r="C160" s="4">
        <v>12</v>
      </c>
      <c r="D160" s="3" t="s">
        <v>31</v>
      </c>
      <c r="E160" s="3" t="s">
        <v>31</v>
      </c>
      <c r="F160" s="40">
        <v>24</v>
      </c>
      <c r="G160" s="4">
        <v>24</v>
      </c>
      <c r="H160">
        <f>IF(F160=G160,1,0)</f>
        <v>1</v>
      </c>
    </row>
    <row r="161" spans="1:8" ht="15.75" x14ac:dyDescent="0.25">
      <c r="A161" s="3" t="s">
        <v>106</v>
      </c>
      <c r="B161" s="4">
        <v>1</v>
      </c>
      <c r="C161" s="4">
        <v>14</v>
      </c>
      <c r="D161" s="3" t="s">
        <v>31</v>
      </c>
      <c r="E161" s="3" t="s">
        <v>31</v>
      </c>
      <c r="F161" s="40">
        <v>24</v>
      </c>
      <c r="G161" s="4">
        <v>24</v>
      </c>
      <c r="H161">
        <f>IF(F161=G161,1,0)</f>
        <v>1</v>
      </c>
    </row>
    <row r="162" spans="1:8" ht="15.75" x14ac:dyDescent="0.25">
      <c r="A162" s="3" t="s">
        <v>107</v>
      </c>
      <c r="B162" s="4">
        <v>1</v>
      </c>
      <c r="C162" s="4">
        <v>9</v>
      </c>
      <c r="D162" s="3" t="s">
        <v>31</v>
      </c>
      <c r="E162" s="3" t="s">
        <v>31</v>
      </c>
      <c r="F162" s="40">
        <v>24</v>
      </c>
      <c r="G162" s="4">
        <v>24</v>
      </c>
      <c r="H162">
        <f>IF(F162=G162,1,0)</f>
        <v>1</v>
      </c>
    </row>
    <row r="163" spans="1:8" ht="15.75" x14ac:dyDescent="0.25">
      <c r="A163" s="10" t="s">
        <v>35</v>
      </c>
      <c r="B163" s="11" t="s">
        <v>35</v>
      </c>
      <c r="C163" s="11"/>
      <c r="D163" s="11" t="s">
        <v>31</v>
      </c>
      <c r="E163" s="10" t="s">
        <v>31</v>
      </c>
      <c r="F163" s="11" t="s">
        <v>35</v>
      </c>
      <c r="G163" s="11" t="s">
        <v>35</v>
      </c>
      <c r="H163">
        <f>IF(F163=G163,1,0)</f>
        <v>1</v>
      </c>
    </row>
    <row r="164" spans="1:8" ht="15.75" x14ac:dyDescent="0.25">
      <c r="A164" s="10" t="s">
        <v>35</v>
      </c>
      <c r="B164" s="11" t="s">
        <v>35</v>
      </c>
      <c r="C164" s="11"/>
      <c r="D164" s="11" t="s">
        <v>31</v>
      </c>
      <c r="E164" s="10" t="s">
        <v>31</v>
      </c>
      <c r="F164" s="11" t="s">
        <v>35</v>
      </c>
      <c r="G164" s="11" t="s">
        <v>35</v>
      </c>
      <c r="H164">
        <f>IF(F164=G164,1,0)</f>
        <v>1</v>
      </c>
    </row>
    <row r="165" spans="1:8" ht="15.75" x14ac:dyDescent="0.25">
      <c r="A165" s="10" t="s">
        <v>35</v>
      </c>
      <c r="B165" s="11" t="s">
        <v>35</v>
      </c>
      <c r="C165" s="11"/>
      <c r="D165" s="11" t="s">
        <v>31</v>
      </c>
      <c r="E165" s="10" t="s">
        <v>31</v>
      </c>
      <c r="F165" s="11" t="s">
        <v>35</v>
      </c>
      <c r="G165" s="11" t="s">
        <v>35</v>
      </c>
      <c r="H165">
        <f>IF(F165=G165,1,0)</f>
        <v>1</v>
      </c>
    </row>
    <row r="166" spans="1:8" ht="15.75" x14ac:dyDescent="0.25">
      <c r="A166" s="10" t="s">
        <v>35</v>
      </c>
      <c r="B166" s="11" t="s">
        <v>35</v>
      </c>
      <c r="C166" s="11"/>
      <c r="D166" s="11" t="s">
        <v>31</v>
      </c>
      <c r="E166" s="10" t="s">
        <v>31</v>
      </c>
      <c r="F166" s="11" t="s">
        <v>35</v>
      </c>
      <c r="G166" s="11" t="s">
        <v>35</v>
      </c>
      <c r="H166">
        <f>IF(F166=G166,1,0)</f>
        <v>1</v>
      </c>
    </row>
    <row r="167" spans="1:8" ht="15.75" x14ac:dyDescent="0.25">
      <c r="A167" s="10" t="s">
        <v>35</v>
      </c>
      <c r="B167" s="11" t="s">
        <v>35</v>
      </c>
      <c r="C167" s="11"/>
      <c r="D167" s="11" t="s">
        <v>31</v>
      </c>
      <c r="E167" s="10" t="s">
        <v>31</v>
      </c>
      <c r="F167" s="11" t="s">
        <v>35</v>
      </c>
      <c r="G167" s="11" t="s">
        <v>35</v>
      </c>
      <c r="H167">
        <f>IF(F167=G167,1,0)</f>
        <v>1</v>
      </c>
    </row>
    <row r="168" spans="1:8" ht="15.75" x14ac:dyDescent="0.25">
      <c r="A168" s="10" t="s">
        <v>35</v>
      </c>
      <c r="B168" s="11" t="s">
        <v>35</v>
      </c>
      <c r="C168" s="11"/>
      <c r="D168" s="11" t="s">
        <v>31</v>
      </c>
      <c r="E168" s="10" t="s">
        <v>31</v>
      </c>
      <c r="F168" s="11" t="s">
        <v>35</v>
      </c>
      <c r="G168" s="11" t="s">
        <v>35</v>
      </c>
      <c r="H168">
        <f>IF(F168=G168,1,0)</f>
        <v>1</v>
      </c>
    </row>
    <row r="169" spans="1:8" ht="15.75" x14ac:dyDescent="0.25">
      <c r="A169" s="10" t="s">
        <v>35</v>
      </c>
      <c r="B169" s="11" t="s">
        <v>35</v>
      </c>
      <c r="C169" s="11"/>
      <c r="D169" s="11" t="s">
        <v>31</v>
      </c>
      <c r="E169" s="10" t="s">
        <v>31</v>
      </c>
      <c r="F169" s="11" t="s">
        <v>35</v>
      </c>
      <c r="G169" s="11" t="s">
        <v>35</v>
      </c>
      <c r="H169">
        <f>IF(F169=G169,1,0)</f>
        <v>1</v>
      </c>
    </row>
    <row r="170" spans="1:8" ht="15.75" x14ac:dyDescent="0.25">
      <c r="A170" s="10" t="s">
        <v>35</v>
      </c>
      <c r="B170" s="11" t="s">
        <v>35</v>
      </c>
      <c r="C170" s="11"/>
      <c r="D170" s="11" t="s">
        <v>31</v>
      </c>
      <c r="E170" s="10" t="s">
        <v>31</v>
      </c>
      <c r="F170" s="11" t="s">
        <v>35</v>
      </c>
      <c r="G170" s="11" t="s">
        <v>35</v>
      </c>
      <c r="H170">
        <f>IF(F170=G170,1,0)</f>
        <v>1</v>
      </c>
    </row>
    <row r="171" spans="1:8" ht="15.75" x14ac:dyDescent="0.25">
      <c r="A171" s="10" t="s">
        <v>35</v>
      </c>
      <c r="B171" s="11">
        <v>21</v>
      </c>
      <c r="C171" s="11">
        <v>0</v>
      </c>
      <c r="D171" s="21" t="s">
        <v>31</v>
      </c>
      <c r="E171" s="20" t="s">
        <v>31</v>
      </c>
      <c r="F171" s="42">
        <v>105</v>
      </c>
      <c r="G171" s="11">
        <v>105</v>
      </c>
      <c r="H171">
        <f>IF(F171=G171,1,0)</f>
        <v>1</v>
      </c>
    </row>
    <row r="172" spans="1:8" ht="15.75" x14ac:dyDescent="0.25">
      <c r="A172" s="10" t="s">
        <v>129</v>
      </c>
      <c r="B172" s="11">
        <v>2</v>
      </c>
      <c r="C172" s="11">
        <v>19.086000000000002</v>
      </c>
      <c r="D172" s="11" t="s">
        <v>31</v>
      </c>
      <c r="E172" s="10" t="s">
        <v>31</v>
      </c>
      <c r="F172" s="42">
        <v>48</v>
      </c>
      <c r="G172" s="11">
        <v>48</v>
      </c>
      <c r="H172">
        <f>IF(F172=G172,1,0)</f>
        <v>1</v>
      </c>
    </row>
    <row r="173" spans="1:8" ht="15.75" x14ac:dyDescent="0.25">
      <c r="A173" s="10" t="s">
        <v>35</v>
      </c>
      <c r="B173" s="11" t="s">
        <v>35</v>
      </c>
      <c r="C173" s="11"/>
      <c r="D173" s="11" t="s">
        <v>31</v>
      </c>
      <c r="E173" s="10" t="s">
        <v>31</v>
      </c>
      <c r="F173" s="11" t="s">
        <v>35</v>
      </c>
      <c r="G173" s="11" t="s">
        <v>35</v>
      </c>
      <c r="H173">
        <f>IF(F173=G173,1,0)</f>
        <v>1</v>
      </c>
    </row>
    <row r="174" spans="1:8" ht="15.75" x14ac:dyDescent="0.25">
      <c r="A174" s="10" t="s">
        <v>35</v>
      </c>
      <c r="B174" s="11">
        <v>1</v>
      </c>
      <c r="C174" s="11">
        <v>0</v>
      </c>
      <c r="D174" s="21" t="s">
        <v>31</v>
      </c>
      <c r="E174" s="20" t="s">
        <v>31</v>
      </c>
      <c r="F174" s="42">
        <v>5</v>
      </c>
      <c r="G174" s="11">
        <v>5</v>
      </c>
      <c r="H174">
        <f>IF(F174=G174,1,0)</f>
        <v>1</v>
      </c>
    </row>
    <row r="175" spans="1:8" ht="15.75" x14ac:dyDescent="0.25">
      <c r="A175" s="10" t="s">
        <v>131</v>
      </c>
      <c r="B175" s="11">
        <v>3</v>
      </c>
      <c r="C175" s="11">
        <v>10.28</v>
      </c>
      <c r="D175" s="21" t="s">
        <v>31</v>
      </c>
      <c r="E175" s="20" t="s">
        <v>31</v>
      </c>
      <c r="F175" s="42">
        <v>15</v>
      </c>
      <c r="G175" s="11">
        <v>15</v>
      </c>
      <c r="H175">
        <f>IF(F175=G175,1,0)</f>
        <v>1</v>
      </c>
    </row>
    <row r="176" spans="1:8" ht="15.75" x14ac:dyDescent="0.25">
      <c r="A176" s="10" t="s">
        <v>132</v>
      </c>
      <c r="B176" s="11">
        <v>1</v>
      </c>
      <c r="C176" s="11">
        <v>13.6</v>
      </c>
      <c r="D176" s="11" t="s">
        <v>31</v>
      </c>
      <c r="E176" s="10" t="s">
        <v>31</v>
      </c>
      <c r="F176" s="42">
        <v>24</v>
      </c>
      <c r="G176" s="11">
        <v>24</v>
      </c>
      <c r="H176">
        <f>IF(F176=G176,1,0)</f>
        <v>1</v>
      </c>
    </row>
    <row r="177" spans="1:8" ht="15.75" x14ac:dyDescent="0.25">
      <c r="A177" s="10" t="s">
        <v>133</v>
      </c>
      <c r="B177" s="11">
        <v>1</v>
      </c>
      <c r="C177" s="11">
        <v>18.5</v>
      </c>
      <c r="D177" s="11" t="s">
        <v>31</v>
      </c>
      <c r="E177" s="10" t="s">
        <v>31</v>
      </c>
      <c r="F177" s="42">
        <v>24</v>
      </c>
      <c r="G177" s="11">
        <v>24</v>
      </c>
      <c r="H177">
        <f>IF(F177=G177,1,0)</f>
        <v>1</v>
      </c>
    </row>
    <row r="178" spans="1:8" ht="15.75" x14ac:dyDescent="0.25">
      <c r="A178" s="10" t="s">
        <v>35</v>
      </c>
      <c r="B178" s="11" t="s">
        <v>35</v>
      </c>
      <c r="C178" s="11"/>
      <c r="D178" s="11" t="s">
        <v>31</v>
      </c>
      <c r="E178" s="10" t="s">
        <v>31</v>
      </c>
      <c r="F178" s="11">
        <v>24</v>
      </c>
      <c r="G178" s="11">
        <v>24</v>
      </c>
      <c r="H178">
        <f>IF(F178=G178,1,0)</f>
        <v>1</v>
      </c>
    </row>
    <row r="179" spans="1:8" ht="15.75" x14ac:dyDescent="0.25">
      <c r="A179" s="10" t="s">
        <v>135</v>
      </c>
      <c r="B179" s="11">
        <v>5</v>
      </c>
      <c r="C179" s="11">
        <v>11.5</v>
      </c>
      <c r="D179" s="11" t="s">
        <v>31</v>
      </c>
      <c r="E179" s="10" t="s">
        <v>31</v>
      </c>
      <c r="F179" s="42">
        <v>120</v>
      </c>
      <c r="G179" s="11">
        <v>120</v>
      </c>
      <c r="H179">
        <f>IF(F179=G179,1,0)</f>
        <v>1</v>
      </c>
    </row>
    <row r="180" spans="1:8" ht="15.75" x14ac:dyDescent="0.25">
      <c r="A180" s="10" t="s">
        <v>35</v>
      </c>
      <c r="B180" s="11" t="s">
        <v>35</v>
      </c>
      <c r="C180" s="11"/>
      <c r="D180" s="11" t="s">
        <v>31</v>
      </c>
      <c r="E180" s="10" t="s">
        <v>31</v>
      </c>
      <c r="F180" s="11" t="s">
        <v>35</v>
      </c>
      <c r="G180" s="11" t="s">
        <v>35</v>
      </c>
      <c r="H180">
        <f>IF(F180=G180,1,0)</f>
        <v>1</v>
      </c>
    </row>
    <row r="181" spans="1:8" ht="15.75" x14ac:dyDescent="0.25">
      <c r="A181" s="10" t="s">
        <v>35</v>
      </c>
      <c r="B181" s="11" t="s">
        <v>35</v>
      </c>
      <c r="C181" s="11"/>
      <c r="D181" s="11" t="s">
        <v>31</v>
      </c>
      <c r="E181" s="10" t="s">
        <v>31</v>
      </c>
      <c r="F181" s="11" t="s">
        <v>35</v>
      </c>
      <c r="G181" s="11" t="s">
        <v>35</v>
      </c>
      <c r="H181">
        <f>IF(F181=G181,1,0)</f>
        <v>1</v>
      </c>
    </row>
    <row r="182" spans="1:8" ht="15.75" x14ac:dyDescent="0.25">
      <c r="A182" s="10" t="s">
        <v>35</v>
      </c>
      <c r="B182" s="11" t="s">
        <v>35</v>
      </c>
      <c r="C182" s="11"/>
      <c r="D182" s="11" t="s">
        <v>31</v>
      </c>
      <c r="E182" s="10" t="s">
        <v>31</v>
      </c>
      <c r="F182" s="11" t="s">
        <v>35</v>
      </c>
      <c r="G182" s="11" t="s">
        <v>35</v>
      </c>
      <c r="H182">
        <f>IF(F182=G182,1,0)</f>
        <v>1</v>
      </c>
    </row>
    <row r="183" spans="1:8" ht="15.75" x14ac:dyDescent="0.25">
      <c r="A183" s="10" t="s">
        <v>35</v>
      </c>
      <c r="B183" s="11" t="s">
        <v>35</v>
      </c>
      <c r="C183" s="11"/>
      <c r="D183" s="11" t="s">
        <v>31</v>
      </c>
      <c r="E183" s="10" t="s">
        <v>31</v>
      </c>
      <c r="F183" s="11" t="s">
        <v>35</v>
      </c>
      <c r="G183" s="11" t="s">
        <v>35</v>
      </c>
      <c r="H183">
        <f>IF(F183=G183,1,0)</f>
        <v>1</v>
      </c>
    </row>
    <row r="184" spans="1:8" ht="15.75" x14ac:dyDescent="0.25">
      <c r="A184" s="10" t="s">
        <v>136</v>
      </c>
      <c r="B184" s="11">
        <v>10</v>
      </c>
      <c r="C184" s="11">
        <v>23</v>
      </c>
      <c r="D184" s="11" t="s">
        <v>31</v>
      </c>
      <c r="E184" s="10" t="s">
        <v>31</v>
      </c>
      <c r="F184" s="42">
        <v>240</v>
      </c>
      <c r="G184" s="11">
        <v>240</v>
      </c>
      <c r="H184">
        <f>IF(F184=G184,1,0)</f>
        <v>1</v>
      </c>
    </row>
    <row r="185" spans="1:8" ht="15.75" x14ac:dyDescent="0.25">
      <c r="A185" s="10" t="s">
        <v>35</v>
      </c>
      <c r="B185" s="11" t="s">
        <v>35</v>
      </c>
      <c r="C185" s="11"/>
      <c r="D185" s="11" t="s">
        <v>31</v>
      </c>
      <c r="E185" s="10" t="s">
        <v>31</v>
      </c>
      <c r="F185" s="11" t="s">
        <v>35</v>
      </c>
      <c r="G185" s="11" t="s">
        <v>35</v>
      </c>
      <c r="H185">
        <f>IF(F185=G185,1,0)</f>
        <v>1</v>
      </c>
    </row>
    <row r="186" spans="1:8" ht="15.75" x14ac:dyDescent="0.25">
      <c r="A186" s="10" t="s">
        <v>35</v>
      </c>
      <c r="B186" s="11" t="s">
        <v>35</v>
      </c>
      <c r="C186" s="11"/>
      <c r="D186" s="11" t="s">
        <v>31</v>
      </c>
      <c r="E186" s="10" t="s">
        <v>31</v>
      </c>
      <c r="F186" s="11" t="s">
        <v>35</v>
      </c>
      <c r="G186" s="11" t="s">
        <v>35</v>
      </c>
      <c r="H186">
        <f>IF(F186=G186,1,0)</f>
        <v>1</v>
      </c>
    </row>
    <row r="187" spans="1:8" ht="15.75" x14ac:dyDescent="0.25">
      <c r="A187" s="10" t="s">
        <v>35</v>
      </c>
      <c r="B187" s="11" t="s">
        <v>35</v>
      </c>
      <c r="C187" s="11"/>
      <c r="D187" s="11" t="s">
        <v>31</v>
      </c>
      <c r="E187" s="10" t="s">
        <v>31</v>
      </c>
      <c r="F187" s="11" t="s">
        <v>35</v>
      </c>
      <c r="G187" s="11" t="s">
        <v>35</v>
      </c>
      <c r="H187">
        <f>IF(F187=G187,1,0)</f>
        <v>1</v>
      </c>
    </row>
    <row r="188" spans="1:8" ht="15.75" x14ac:dyDescent="0.25">
      <c r="A188" s="10" t="s">
        <v>35</v>
      </c>
      <c r="B188" s="11" t="s">
        <v>35</v>
      </c>
      <c r="C188" s="11"/>
      <c r="D188" s="11" t="s">
        <v>31</v>
      </c>
      <c r="E188" s="10" t="s">
        <v>31</v>
      </c>
      <c r="F188" s="11" t="s">
        <v>35</v>
      </c>
      <c r="G188" s="11" t="s">
        <v>35</v>
      </c>
      <c r="H188">
        <f>IF(F188=G188,1,0)</f>
        <v>1</v>
      </c>
    </row>
    <row r="189" spans="1:8" ht="15.75" x14ac:dyDescent="0.25">
      <c r="A189" s="10" t="s">
        <v>35</v>
      </c>
      <c r="B189" s="11" t="s">
        <v>35</v>
      </c>
      <c r="C189" s="11"/>
      <c r="D189" s="11" t="s">
        <v>31</v>
      </c>
      <c r="E189" s="10" t="s">
        <v>31</v>
      </c>
      <c r="F189" s="11" t="s">
        <v>35</v>
      </c>
      <c r="G189" s="11" t="s">
        <v>35</v>
      </c>
      <c r="H189">
        <f>IF(F189=G189,1,0)</f>
        <v>1</v>
      </c>
    </row>
    <row r="190" spans="1:8" ht="15.75" x14ac:dyDescent="0.25">
      <c r="A190" s="10" t="s">
        <v>35</v>
      </c>
      <c r="B190" s="11" t="s">
        <v>35</v>
      </c>
      <c r="C190" s="11"/>
      <c r="D190" s="11" t="s">
        <v>31</v>
      </c>
      <c r="E190" s="10" t="s">
        <v>31</v>
      </c>
      <c r="F190" s="11" t="s">
        <v>35</v>
      </c>
      <c r="G190" s="11" t="s">
        <v>35</v>
      </c>
      <c r="H190">
        <f>IF(F190=G190,1,0)</f>
        <v>1</v>
      </c>
    </row>
    <row r="191" spans="1:8" ht="15.75" x14ac:dyDescent="0.25">
      <c r="A191" s="10" t="s">
        <v>35</v>
      </c>
      <c r="B191" s="11" t="s">
        <v>35</v>
      </c>
      <c r="C191" s="11"/>
      <c r="D191" s="11" t="s">
        <v>31</v>
      </c>
      <c r="E191" s="10" t="s">
        <v>31</v>
      </c>
      <c r="F191" s="11" t="s">
        <v>35</v>
      </c>
      <c r="G191" s="11" t="s">
        <v>35</v>
      </c>
      <c r="H191">
        <f>IF(F191=G191,1,0)</f>
        <v>1</v>
      </c>
    </row>
    <row r="192" spans="1:8" ht="15.75" x14ac:dyDescent="0.25">
      <c r="A192" s="10" t="s">
        <v>35</v>
      </c>
      <c r="B192" s="11" t="s">
        <v>35</v>
      </c>
      <c r="C192" s="11"/>
      <c r="D192" s="11" t="s">
        <v>31</v>
      </c>
      <c r="E192" s="10" t="s">
        <v>31</v>
      </c>
      <c r="F192" s="11" t="s">
        <v>35</v>
      </c>
      <c r="G192" s="11" t="s">
        <v>35</v>
      </c>
      <c r="H192">
        <f>IF(F192=G192,1,0)</f>
        <v>1</v>
      </c>
    </row>
    <row r="193" spans="1:8" ht="15.75" x14ac:dyDescent="0.25">
      <c r="A193" s="10" t="s">
        <v>35</v>
      </c>
      <c r="B193" s="11" t="s">
        <v>35</v>
      </c>
      <c r="C193" s="11"/>
      <c r="D193" s="11" t="s">
        <v>31</v>
      </c>
      <c r="E193" s="10" t="s">
        <v>31</v>
      </c>
      <c r="F193" s="11" t="s">
        <v>35</v>
      </c>
      <c r="G193" s="11" t="s">
        <v>35</v>
      </c>
      <c r="H193">
        <f>IF(F193=G193,1,0)</f>
        <v>1</v>
      </c>
    </row>
    <row r="194" spans="1:8" ht="15.75" x14ac:dyDescent="0.25">
      <c r="A194" s="10" t="s">
        <v>137</v>
      </c>
      <c r="B194" s="11">
        <v>1</v>
      </c>
      <c r="C194" s="11">
        <v>36.155999999999999</v>
      </c>
      <c r="D194" s="11" t="s">
        <v>31</v>
      </c>
      <c r="E194" s="10" t="s">
        <v>31</v>
      </c>
      <c r="F194" s="42">
        <v>24</v>
      </c>
      <c r="G194" s="11">
        <v>24</v>
      </c>
      <c r="H194">
        <f>IF(F194=G194,1,0)</f>
        <v>1</v>
      </c>
    </row>
    <row r="195" spans="1:8" ht="15.75" x14ac:dyDescent="0.25">
      <c r="A195" s="10" t="s">
        <v>142</v>
      </c>
      <c r="B195" s="11">
        <v>1</v>
      </c>
      <c r="C195" s="11">
        <v>10</v>
      </c>
      <c r="D195" s="11" t="s">
        <v>31</v>
      </c>
      <c r="E195" s="10" t="s">
        <v>31</v>
      </c>
      <c r="F195" s="42">
        <v>24</v>
      </c>
      <c r="G195" s="11">
        <v>24</v>
      </c>
      <c r="H195">
        <f>IF(F195=G195,1,0)</f>
        <v>1</v>
      </c>
    </row>
    <row r="196" spans="1:8" ht="15.75" x14ac:dyDescent="0.25">
      <c r="A196" s="10" t="s">
        <v>35</v>
      </c>
      <c r="B196" s="11">
        <v>1</v>
      </c>
      <c r="C196" s="11">
        <v>38</v>
      </c>
      <c r="D196" s="11" t="s">
        <v>31</v>
      </c>
      <c r="E196" s="10" t="s">
        <v>31</v>
      </c>
      <c r="F196" s="42">
        <v>24</v>
      </c>
      <c r="G196" s="11">
        <v>24</v>
      </c>
      <c r="H196">
        <f>IF(F196=G196,1,0)</f>
        <v>1</v>
      </c>
    </row>
    <row r="197" spans="1:8" ht="15.75" x14ac:dyDescent="0.25">
      <c r="A197" s="10" t="s">
        <v>35</v>
      </c>
      <c r="B197" s="11">
        <v>1</v>
      </c>
      <c r="C197" s="11">
        <v>0</v>
      </c>
      <c r="D197" s="21" t="s">
        <v>31</v>
      </c>
      <c r="E197" s="21" t="s">
        <v>31</v>
      </c>
      <c r="F197" s="42">
        <v>5</v>
      </c>
      <c r="G197" s="11">
        <v>5</v>
      </c>
      <c r="H197">
        <f>IF(F197=G197,1,0)</f>
        <v>1</v>
      </c>
    </row>
    <row r="198" spans="1:8" ht="15.75" x14ac:dyDescent="0.25">
      <c r="A198" s="10" t="s">
        <v>143</v>
      </c>
      <c r="B198" s="11">
        <v>1</v>
      </c>
      <c r="C198" s="11">
        <v>15</v>
      </c>
      <c r="D198" s="11" t="s">
        <v>31</v>
      </c>
      <c r="E198" s="10" t="s">
        <v>31</v>
      </c>
      <c r="F198" s="42">
        <v>24</v>
      </c>
      <c r="G198" s="11">
        <v>24</v>
      </c>
      <c r="H198">
        <f>IF(F198=G198,1,0)</f>
        <v>1</v>
      </c>
    </row>
    <row r="199" spans="1:8" ht="15.75" x14ac:dyDescent="0.25">
      <c r="A199" s="10" t="s">
        <v>144</v>
      </c>
      <c r="B199" s="11">
        <v>2</v>
      </c>
      <c r="C199" s="11">
        <v>20</v>
      </c>
      <c r="D199" s="11" t="s">
        <v>31</v>
      </c>
      <c r="E199" s="10" t="s">
        <v>31</v>
      </c>
      <c r="F199" s="42">
        <v>48</v>
      </c>
      <c r="G199" s="11">
        <v>48</v>
      </c>
      <c r="H199">
        <f>IF(F199=G199,1,0)</f>
        <v>1</v>
      </c>
    </row>
    <row r="200" spans="1:8" ht="15.75" x14ac:dyDescent="0.25">
      <c r="A200" s="10" t="s">
        <v>35</v>
      </c>
      <c r="B200" s="11" t="s">
        <v>35</v>
      </c>
      <c r="C200" s="11"/>
      <c r="D200" s="11" t="s">
        <v>31</v>
      </c>
      <c r="E200" s="10" t="s">
        <v>31</v>
      </c>
      <c r="F200" s="11" t="s">
        <v>35</v>
      </c>
      <c r="G200" s="11" t="s">
        <v>35</v>
      </c>
      <c r="H200">
        <f>IF(F200=G200,1,0)</f>
        <v>1</v>
      </c>
    </row>
    <row r="201" spans="1:8" ht="15.75" x14ac:dyDescent="0.25">
      <c r="A201" s="10" t="s">
        <v>35</v>
      </c>
      <c r="B201" s="11">
        <v>1</v>
      </c>
      <c r="C201" s="11">
        <v>10.8</v>
      </c>
      <c r="D201" s="11" t="s">
        <v>31</v>
      </c>
      <c r="E201" s="10" t="s">
        <v>31</v>
      </c>
      <c r="F201" s="42">
        <v>24</v>
      </c>
      <c r="G201" s="11">
        <v>24</v>
      </c>
      <c r="H201">
        <f>IF(F201=G201,1,0)</f>
        <v>1</v>
      </c>
    </row>
    <row r="202" spans="1:8" ht="15.75" x14ac:dyDescent="0.25">
      <c r="A202" s="10" t="s">
        <v>145</v>
      </c>
      <c r="B202" s="11">
        <v>3</v>
      </c>
      <c r="C202" s="11">
        <v>30</v>
      </c>
      <c r="D202" s="11" t="s">
        <v>31</v>
      </c>
      <c r="E202" s="10" t="s">
        <v>31</v>
      </c>
      <c r="F202" s="42">
        <v>72</v>
      </c>
      <c r="G202" s="11">
        <v>72</v>
      </c>
      <c r="H202">
        <f>IF(F202=G202,1,0)</f>
        <v>1</v>
      </c>
    </row>
    <row r="203" spans="1:8" ht="15.75" x14ac:dyDescent="0.25">
      <c r="A203" s="10" t="s">
        <v>35</v>
      </c>
      <c r="B203" s="11" t="s">
        <v>35</v>
      </c>
      <c r="C203" s="11"/>
      <c r="D203" s="11" t="s">
        <v>31</v>
      </c>
      <c r="E203" s="10" t="s">
        <v>31</v>
      </c>
      <c r="F203" s="11" t="s">
        <v>35</v>
      </c>
      <c r="G203" s="11" t="s">
        <v>35</v>
      </c>
      <c r="H203">
        <f>IF(F203=G203,1,0)</f>
        <v>1</v>
      </c>
    </row>
    <row r="204" spans="1:8" ht="15.75" x14ac:dyDescent="0.25">
      <c r="A204" s="10" t="s">
        <v>35</v>
      </c>
      <c r="B204" s="11" t="s">
        <v>35</v>
      </c>
      <c r="C204" s="11"/>
      <c r="D204" s="11" t="s">
        <v>31</v>
      </c>
      <c r="E204" s="10" t="s">
        <v>31</v>
      </c>
      <c r="F204" s="11" t="s">
        <v>35</v>
      </c>
      <c r="G204" s="11" t="s">
        <v>35</v>
      </c>
      <c r="H204">
        <f>IF(F204=G204,1,0)</f>
        <v>1</v>
      </c>
    </row>
    <row r="205" spans="1:8" ht="15.75" x14ac:dyDescent="0.25">
      <c r="A205" s="10" t="s">
        <v>35</v>
      </c>
      <c r="B205" s="11">
        <v>1</v>
      </c>
      <c r="C205" s="11">
        <v>30</v>
      </c>
      <c r="D205" s="11" t="s">
        <v>31</v>
      </c>
      <c r="E205" s="10" t="s">
        <v>31</v>
      </c>
      <c r="F205" s="42">
        <v>24</v>
      </c>
      <c r="G205" s="11">
        <v>24</v>
      </c>
      <c r="H205">
        <f>IF(F205=G205,1,0)</f>
        <v>1</v>
      </c>
    </row>
    <row r="206" spans="1:8" ht="15.75" x14ac:dyDescent="0.25">
      <c r="A206" s="10" t="s">
        <v>139</v>
      </c>
      <c r="B206" s="11">
        <v>1</v>
      </c>
      <c r="C206" s="11">
        <v>15</v>
      </c>
      <c r="D206" s="11" t="s">
        <v>31</v>
      </c>
      <c r="E206" s="10" t="s">
        <v>31</v>
      </c>
      <c r="F206" s="42">
        <v>24</v>
      </c>
      <c r="G206" s="11">
        <v>24</v>
      </c>
      <c r="H206">
        <f>IF(F206=G206,1,0)</f>
        <v>1</v>
      </c>
    </row>
    <row r="207" spans="1:8" ht="15.75" x14ac:dyDescent="0.25">
      <c r="A207" s="10" t="s">
        <v>139</v>
      </c>
      <c r="B207" s="11">
        <v>1</v>
      </c>
      <c r="C207" s="11">
        <v>15</v>
      </c>
      <c r="D207" s="11" t="s">
        <v>31</v>
      </c>
      <c r="E207" s="10" t="s">
        <v>31</v>
      </c>
      <c r="F207" s="42">
        <v>24</v>
      </c>
      <c r="G207" s="11">
        <v>24</v>
      </c>
      <c r="H207">
        <f>IF(F207=G207,1,0)</f>
        <v>1</v>
      </c>
    </row>
    <row r="208" spans="1:8" ht="15.75" x14ac:dyDescent="0.25">
      <c r="A208" s="10" t="s">
        <v>139</v>
      </c>
      <c r="B208" s="11">
        <v>1</v>
      </c>
      <c r="C208" s="11">
        <v>15</v>
      </c>
      <c r="D208" s="11" t="s">
        <v>31</v>
      </c>
      <c r="E208" s="10" t="s">
        <v>31</v>
      </c>
      <c r="F208" s="42">
        <v>24</v>
      </c>
      <c r="G208" s="11">
        <v>24</v>
      </c>
      <c r="H208">
        <f>IF(F208=G208,1,0)</f>
        <v>1</v>
      </c>
    </row>
    <row r="209" spans="1:8" ht="15.75" x14ac:dyDescent="0.25">
      <c r="A209" s="10" t="s">
        <v>146</v>
      </c>
      <c r="B209" s="11">
        <v>1</v>
      </c>
      <c r="C209" s="11">
        <v>33</v>
      </c>
      <c r="D209" s="11" t="s">
        <v>31</v>
      </c>
      <c r="E209" s="10" t="s">
        <v>31</v>
      </c>
      <c r="F209" s="42">
        <v>24</v>
      </c>
      <c r="G209" s="11">
        <v>24</v>
      </c>
      <c r="H209">
        <f>IF(F209=G209,1,0)</f>
        <v>1</v>
      </c>
    </row>
    <row r="210" spans="1:8" ht="15.75" x14ac:dyDescent="0.25">
      <c r="A210" s="10" t="s">
        <v>146</v>
      </c>
      <c r="B210" s="11">
        <v>1</v>
      </c>
      <c r="C210" s="11">
        <v>0</v>
      </c>
      <c r="D210" s="21" t="s">
        <v>31</v>
      </c>
      <c r="E210" s="21" t="s">
        <v>31</v>
      </c>
      <c r="F210" s="42">
        <v>5</v>
      </c>
      <c r="G210" s="11">
        <v>5</v>
      </c>
      <c r="H210">
        <f>IF(F210=G210,1,0)</f>
        <v>1</v>
      </c>
    </row>
    <row r="211" spans="1:8" ht="15.75" x14ac:dyDescent="0.25">
      <c r="A211" s="10" t="s">
        <v>139</v>
      </c>
      <c r="B211" s="11">
        <v>1</v>
      </c>
      <c r="C211" s="11">
        <v>15</v>
      </c>
      <c r="D211" s="11" t="s">
        <v>31</v>
      </c>
      <c r="E211" s="10" t="s">
        <v>31</v>
      </c>
      <c r="F211" s="42">
        <v>24</v>
      </c>
      <c r="G211" s="11">
        <v>24</v>
      </c>
      <c r="H211">
        <f>IF(F211=G211,1,0)</f>
        <v>1</v>
      </c>
    </row>
    <row r="212" spans="1:8" ht="15.75" x14ac:dyDescent="0.25">
      <c r="A212" s="10" t="s">
        <v>148</v>
      </c>
      <c r="B212" s="11">
        <v>1</v>
      </c>
      <c r="C212" s="11">
        <v>10</v>
      </c>
      <c r="D212" s="11" t="s">
        <v>31</v>
      </c>
      <c r="E212" s="10" t="s">
        <v>31</v>
      </c>
      <c r="F212" s="42">
        <v>24</v>
      </c>
      <c r="G212" s="11">
        <v>24</v>
      </c>
      <c r="H212">
        <f>IF(F212=G212,1,0)</f>
        <v>1</v>
      </c>
    </row>
    <row r="213" spans="1:8" ht="15.75" x14ac:dyDescent="0.25">
      <c r="A213" s="10" t="s">
        <v>35</v>
      </c>
      <c r="B213" s="11">
        <v>3</v>
      </c>
      <c r="C213" s="11">
        <v>34</v>
      </c>
      <c r="D213" s="11" t="s">
        <v>31</v>
      </c>
      <c r="E213" s="10" t="s">
        <v>31</v>
      </c>
      <c r="F213" s="42">
        <v>72</v>
      </c>
      <c r="G213" s="11">
        <v>72</v>
      </c>
      <c r="H213">
        <f>IF(F213=G213,1,0)</f>
        <v>1</v>
      </c>
    </row>
    <row r="214" spans="1:8" ht="15.75" x14ac:dyDescent="0.25">
      <c r="A214" s="10" t="s">
        <v>35</v>
      </c>
      <c r="B214" s="11" t="s">
        <v>35</v>
      </c>
      <c r="C214" s="11"/>
      <c r="D214" s="11" t="s">
        <v>31</v>
      </c>
      <c r="E214" s="10" t="s">
        <v>31</v>
      </c>
      <c r="F214" s="11" t="s">
        <v>35</v>
      </c>
      <c r="G214" s="11" t="s">
        <v>35</v>
      </c>
      <c r="H214">
        <f>IF(F214=G214,1,0)</f>
        <v>1</v>
      </c>
    </row>
    <row r="215" spans="1:8" ht="15.75" x14ac:dyDescent="0.25">
      <c r="A215" s="10" t="s">
        <v>35</v>
      </c>
      <c r="B215" s="11" t="s">
        <v>35</v>
      </c>
      <c r="C215" s="11"/>
      <c r="D215" s="11" t="s">
        <v>31</v>
      </c>
      <c r="E215" s="10" t="s">
        <v>31</v>
      </c>
      <c r="F215" s="11" t="s">
        <v>35</v>
      </c>
      <c r="G215" s="11" t="s">
        <v>35</v>
      </c>
      <c r="H215">
        <f>IF(F215=G215,1,0)</f>
        <v>1</v>
      </c>
    </row>
    <row r="216" spans="1:8" ht="15.75" x14ac:dyDescent="0.25">
      <c r="A216" s="10" t="s">
        <v>151</v>
      </c>
      <c r="B216" s="11">
        <v>17</v>
      </c>
      <c r="C216" s="11">
        <v>300</v>
      </c>
      <c r="D216" s="11" t="s">
        <v>31</v>
      </c>
      <c r="E216" s="10" t="s">
        <v>31</v>
      </c>
      <c r="F216" s="42">
        <v>408</v>
      </c>
      <c r="G216" s="11">
        <v>408</v>
      </c>
      <c r="H216">
        <f>IF(F216=G216,1,0)</f>
        <v>1</v>
      </c>
    </row>
    <row r="217" spans="1:8" ht="15.75" x14ac:dyDescent="0.25">
      <c r="A217" s="10" t="s">
        <v>35</v>
      </c>
      <c r="B217" s="11" t="s">
        <v>35</v>
      </c>
      <c r="C217" s="11"/>
      <c r="D217" s="11" t="s">
        <v>31</v>
      </c>
      <c r="E217" s="10" t="s">
        <v>31</v>
      </c>
      <c r="F217" s="11" t="s">
        <v>35</v>
      </c>
      <c r="G217" s="11" t="s">
        <v>35</v>
      </c>
      <c r="H217">
        <f>IF(F217=G217,1,0)</f>
        <v>1</v>
      </c>
    </row>
    <row r="218" spans="1:8" ht="15.75" x14ac:dyDescent="0.25">
      <c r="A218" s="10" t="s">
        <v>35</v>
      </c>
      <c r="B218" s="11" t="s">
        <v>35</v>
      </c>
      <c r="C218" s="11"/>
      <c r="D218" s="11" t="s">
        <v>31</v>
      </c>
      <c r="E218" s="10" t="s">
        <v>31</v>
      </c>
      <c r="F218" s="11" t="s">
        <v>35</v>
      </c>
      <c r="G218" s="11" t="s">
        <v>35</v>
      </c>
      <c r="H218">
        <f>IF(F218=G218,1,0)</f>
        <v>1</v>
      </c>
    </row>
    <row r="219" spans="1:8" ht="15.75" x14ac:dyDescent="0.25">
      <c r="A219" s="10" t="s">
        <v>35</v>
      </c>
      <c r="B219" s="11" t="s">
        <v>35</v>
      </c>
      <c r="C219" s="11"/>
      <c r="D219" s="11" t="s">
        <v>31</v>
      </c>
      <c r="E219" s="10" t="s">
        <v>31</v>
      </c>
      <c r="F219" s="11" t="s">
        <v>35</v>
      </c>
      <c r="G219" s="11" t="s">
        <v>35</v>
      </c>
      <c r="H219">
        <f>IF(F219=G219,1,0)</f>
        <v>1</v>
      </c>
    </row>
    <row r="220" spans="1:8" ht="15.75" x14ac:dyDescent="0.25">
      <c r="A220" s="10" t="s">
        <v>35</v>
      </c>
      <c r="B220" s="11" t="s">
        <v>35</v>
      </c>
      <c r="C220" s="11"/>
      <c r="D220" s="11" t="s">
        <v>31</v>
      </c>
      <c r="E220" s="10" t="s">
        <v>31</v>
      </c>
      <c r="F220" s="11" t="s">
        <v>35</v>
      </c>
      <c r="G220" s="11" t="s">
        <v>35</v>
      </c>
      <c r="H220">
        <f>IF(F220=G220,1,0)</f>
        <v>1</v>
      </c>
    </row>
    <row r="221" spans="1:8" ht="15.75" x14ac:dyDescent="0.25">
      <c r="A221" s="10" t="s">
        <v>35</v>
      </c>
      <c r="B221" s="11" t="s">
        <v>35</v>
      </c>
      <c r="C221" s="11"/>
      <c r="D221" s="11" t="s">
        <v>31</v>
      </c>
      <c r="E221" s="10" t="s">
        <v>31</v>
      </c>
      <c r="F221" s="11" t="s">
        <v>35</v>
      </c>
      <c r="G221" s="11" t="s">
        <v>35</v>
      </c>
      <c r="H221">
        <f>IF(F221=G221,1,0)</f>
        <v>1</v>
      </c>
    </row>
    <row r="222" spans="1:8" ht="15.75" x14ac:dyDescent="0.25">
      <c r="A222" s="10" t="s">
        <v>35</v>
      </c>
      <c r="B222" s="11" t="s">
        <v>35</v>
      </c>
      <c r="C222" s="11"/>
      <c r="D222" s="11" t="s">
        <v>31</v>
      </c>
      <c r="E222" s="10" t="s">
        <v>31</v>
      </c>
      <c r="F222" s="11" t="s">
        <v>35</v>
      </c>
      <c r="G222" s="11" t="s">
        <v>35</v>
      </c>
      <c r="H222">
        <f>IF(F222=G222,1,0)</f>
        <v>1</v>
      </c>
    </row>
    <row r="223" spans="1:8" ht="15.75" x14ac:dyDescent="0.25">
      <c r="A223" s="10" t="s">
        <v>35</v>
      </c>
      <c r="B223" s="11" t="s">
        <v>35</v>
      </c>
      <c r="C223" s="11"/>
      <c r="D223" s="11" t="s">
        <v>31</v>
      </c>
      <c r="E223" s="10" t="s">
        <v>31</v>
      </c>
      <c r="F223" s="11" t="s">
        <v>35</v>
      </c>
      <c r="G223" s="11" t="s">
        <v>35</v>
      </c>
      <c r="H223">
        <f>IF(F223=G223,1,0)</f>
        <v>1</v>
      </c>
    </row>
    <row r="224" spans="1:8" ht="15.75" x14ac:dyDescent="0.25">
      <c r="A224" s="10" t="s">
        <v>35</v>
      </c>
      <c r="B224" s="11" t="s">
        <v>35</v>
      </c>
      <c r="C224" s="11"/>
      <c r="D224" s="11" t="s">
        <v>31</v>
      </c>
      <c r="E224" s="10" t="s">
        <v>31</v>
      </c>
      <c r="F224" s="11" t="s">
        <v>35</v>
      </c>
      <c r="G224" s="11" t="s">
        <v>35</v>
      </c>
      <c r="H224">
        <f>IF(F224=G224,1,0)</f>
        <v>1</v>
      </c>
    </row>
    <row r="225" spans="1:8" ht="15.75" x14ac:dyDescent="0.25">
      <c r="A225" s="10" t="s">
        <v>35</v>
      </c>
      <c r="B225" s="11" t="s">
        <v>35</v>
      </c>
      <c r="C225" s="11"/>
      <c r="D225" s="11" t="s">
        <v>31</v>
      </c>
      <c r="E225" s="10" t="s">
        <v>31</v>
      </c>
      <c r="F225" s="11" t="s">
        <v>35</v>
      </c>
      <c r="G225" s="11" t="s">
        <v>35</v>
      </c>
      <c r="H225">
        <f>IF(F225=G225,1,0)</f>
        <v>1</v>
      </c>
    </row>
    <row r="226" spans="1:8" ht="15.75" x14ac:dyDescent="0.25">
      <c r="A226" s="10" t="s">
        <v>35</v>
      </c>
      <c r="B226" s="11" t="s">
        <v>35</v>
      </c>
      <c r="C226" s="11"/>
      <c r="D226" s="11" t="s">
        <v>31</v>
      </c>
      <c r="E226" s="10" t="s">
        <v>31</v>
      </c>
      <c r="F226" s="11" t="s">
        <v>35</v>
      </c>
      <c r="G226" s="11" t="s">
        <v>35</v>
      </c>
      <c r="H226">
        <f>IF(F226=G226,1,0)</f>
        <v>1</v>
      </c>
    </row>
    <row r="227" spans="1:8" ht="15.75" x14ac:dyDescent="0.25">
      <c r="A227" s="10" t="s">
        <v>35</v>
      </c>
      <c r="B227" s="11" t="s">
        <v>35</v>
      </c>
      <c r="C227" s="11"/>
      <c r="D227" s="11" t="s">
        <v>31</v>
      </c>
      <c r="E227" s="10" t="s">
        <v>31</v>
      </c>
      <c r="F227" s="11" t="s">
        <v>35</v>
      </c>
      <c r="G227" s="11" t="s">
        <v>35</v>
      </c>
      <c r="H227">
        <f>IF(F227=G227,1,0)</f>
        <v>1</v>
      </c>
    </row>
    <row r="228" spans="1:8" ht="15.75" x14ac:dyDescent="0.25">
      <c r="A228" s="10" t="s">
        <v>35</v>
      </c>
      <c r="B228" s="11" t="s">
        <v>35</v>
      </c>
      <c r="C228" s="11"/>
      <c r="D228" s="11" t="s">
        <v>31</v>
      </c>
      <c r="E228" s="10" t="s">
        <v>31</v>
      </c>
      <c r="F228" s="11" t="s">
        <v>35</v>
      </c>
      <c r="G228" s="11" t="s">
        <v>35</v>
      </c>
      <c r="H228">
        <f>IF(F228=G228,1,0)</f>
        <v>1</v>
      </c>
    </row>
    <row r="229" spans="1:8" ht="15.75" x14ac:dyDescent="0.25">
      <c r="A229" s="10" t="s">
        <v>35</v>
      </c>
      <c r="B229" s="11" t="s">
        <v>35</v>
      </c>
      <c r="C229" s="11"/>
      <c r="D229" s="11" t="s">
        <v>31</v>
      </c>
      <c r="E229" s="10" t="s">
        <v>31</v>
      </c>
      <c r="F229" s="11" t="s">
        <v>35</v>
      </c>
      <c r="G229" s="11" t="s">
        <v>35</v>
      </c>
      <c r="H229">
        <f>IF(F229=G229,1,0)</f>
        <v>1</v>
      </c>
    </row>
    <row r="230" spans="1:8" ht="15.75" x14ac:dyDescent="0.25">
      <c r="A230" s="10" t="s">
        <v>35</v>
      </c>
      <c r="B230" s="11" t="s">
        <v>35</v>
      </c>
      <c r="C230" s="11"/>
      <c r="D230" s="11" t="s">
        <v>31</v>
      </c>
      <c r="E230" s="10" t="s">
        <v>31</v>
      </c>
      <c r="F230" s="11" t="s">
        <v>35</v>
      </c>
      <c r="G230" s="11" t="s">
        <v>35</v>
      </c>
      <c r="H230">
        <f>IF(F230=G230,1,0)</f>
        <v>1</v>
      </c>
    </row>
    <row r="231" spans="1:8" ht="15.75" x14ac:dyDescent="0.25">
      <c r="A231" s="10" t="s">
        <v>35</v>
      </c>
      <c r="B231" s="11" t="s">
        <v>35</v>
      </c>
      <c r="C231" s="11"/>
      <c r="D231" s="11" t="s">
        <v>31</v>
      </c>
      <c r="E231" s="10" t="s">
        <v>31</v>
      </c>
      <c r="F231" s="11" t="s">
        <v>35</v>
      </c>
      <c r="G231" s="11" t="s">
        <v>35</v>
      </c>
      <c r="H231">
        <f>IF(F231=G231,1,0)</f>
        <v>1</v>
      </c>
    </row>
    <row r="232" spans="1:8" ht="15.75" x14ac:dyDescent="0.25">
      <c r="A232" s="10" t="s">
        <v>35</v>
      </c>
      <c r="B232" s="11" t="s">
        <v>35</v>
      </c>
      <c r="C232" s="11"/>
      <c r="D232" s="11" t="s">
        <v>31</v>
      </c>
      <c r="E232" s="10" t="s">
        <v>31</v>
      </c>
      <c r="F232" s="11" t="s">
        <v>35</v>
      </c>
      <c r="G232" s="11" t="s">
        <v>35</v>
      </c>
      <c r="H232">
        <f>IF(F232=G232,1,0)</f>
        <v>1</v>
      </c>
    </row>
    <row r="233" spans="1:8" ht="15.75" x14ac:dyDescent="0.25">
      <c r="A233" s="10" t="s">
        <v>35</v>
      </c>
      <c r="B233" s="11">
        <v>4</v>
      </c>
      <c r="C233" s="11">
        <v>71.5</v>
      </c>
      <c r="D233" s="11" t="s">
        <v>31</v>
      </c>
      <c r="E233" s="10" t="s">
        <v>31</v>
      </c>
      <c r="F233" s="42">
        <v>96</v>
      </c>
      <c r="G233" s="11">
        <v>96</v>
      </c>
      <c r="H233">
        <f>IF(F233=G233,1,0)</f>
        <v>1</v>
      </c>
    </row>
    <row r="234" spans="1:8" ht="15.75" x14ac:dyDescent="0.25">
      <c r="A234" s="10" t="s">
        <v>35</v>
      </c>
      <c r="B234" s="11" t="s">
        <v>35</v>
      </c>
      <c r="C234" s="11"/>
      <c r="D234" s="11" t="s">
        <v>31</v>
      </c>
      <c r="E234" s="10" t="s">
        <v>31</v>
      </c>
      <c r="F234" s="11" t="s">
        <v>35</v>
      </c>
      <c r="G234" s="11" t="s">
        <v>35</v>
      </c>
      <c r="H234">
        <f>IF(F234=G234,1,0)</f>
        <v>1</v>
      </c>
    </row>
    <row r="235" spans="1:8" ht="15.75" x14ac:dyDescent="0.25">
      <c r="A235" s="10" t="s">
        <v>35</v>
      </c>
      <c r="B235" s="11" t="s">
        <v>35</v>
      </c>
      <c r="C235" s="11"/>
      <c r="D235" s="11" t="s">
        <v>31</v>
      </c>
      <c r="E235" s="10" t="s">
        <v>31</v>
      </c>
      <c r="F235" s="11" t="s">
        <v>35</v>
      </c>
      <c r="G235" s="11" t="s">
        <v>35</v>
      </c>
      <c r="H235">
        <f>IF(F235=G235,1,0)</f>
        <v>1</v>
      </c>
    </row>
    <row r="236" spans="1:8" ht="15.75" x14ac:dyDescent="0.25">
      <c r="A236" s="10" t="s">
        <v>35</v>
      </c>
      <c r="B236" s="11" t="s">
        <v>35</v>
      </c>
      <c r="C236" s="11"/>
      <c r="D236" s="11" t="s">
        <v>31</v>
      </c>
      <c r="E236" s="10" t="s">
        <v>31</v>
      </c>
      <c r="F236" s="11" t="s">
        <v>35</v>
      </c>
      <c r="G236" s="11" t="s">
        <v>35</v>
      </c>
      <c r="H236">
        <f>IF(F236=G236,1,0)</f>
        <v>1</v>
      </c>
    </row>
    <row r="237" spans="1:8" ht="15.75" x14ac:dyDescent="0.25">
      <c r="A237" s="10" t="s">
        <v>153</v>
      </c>
      <c r="B237" s="11">
        <v>1</v>
      </c>
      <c r="C237" s="11">
        <v>16.234999999999999</v>
      </c>
      <c r="D237" s="11" t="s">
        <v>31</v>
      </c>
      <c r="E237" s="10" t="s">
        <v>31</v>
      </c>
      <c r="F237" s="42">
        <v>24</v>
      </c>
      <c r="G237" s="11">
        <v>24</v>
      </c>
      <c r="H237">
        <f>IF(F237=G237,1,0)</f>
        <v>1</v>
      </c>
    </row>
    <row r="238" spans="1:8" ht="15.75" x14ac:dyDescent="0.25">
      <c r="A238" s="10" t="s">
        <v>154</v>
      </c>
      <c r="B238" s="11">
        <v>7</v>
      </c>
      <c r="C238" s="11">
        <v>25.527999999999999</v>
      </c>
      <c r="D238" s="21" t="s">
        <v>31</v>
      </c>
      <c r="E238" s="21" t="s">
        <v>31</v>
      </c>
      <c r="F238" s="42">
        <v>35</v>
      </c>
      <c r="G238" s="11">
        <v>35</v>
      </c>
      <c r="H238">
        <f>IF(F238=G238,1,0)</f>
        <v>1</v>
      </c>
    </row>
    <row r="239" spans="1:8" ht="15.75" x14ac:dyDescent="0.25">
      <c r="A239" s="10" t="s">
        <v>156</v>
      </c>
      <c r="B239" s="11">
        <v>3</v>
      </c>
      <c r="C239" s="11">
        <v>6.38</v>
      </c>
      <c r="D239" s="11" t="s">
        <v>31</v>
      </c>
      <c r="E239" s="10" t="s">
        <v>31</v>
      </c>
      <c r="F239" s="42">
        <v>72</v>
      </c>
      <c r="G239" s="11">
        <v>72</v>
      </c>
      <c r="H239">
        <f>IF(F239=G239,1,0)</f>
        <v>1</v>
      </c>
    </row>
    <row r="240" spans="1:8" ht="15.75" x14ac:dyDescent="0.25">
      <c r="A240" s="10" t="s">
        <v>158</v>
      </c>
      <c r="B240" s="11">
        <v>1</v>
      </c>
      <c r="C240" s="11">
        <v>2.3149999999999999</v>
      </c>
      <c r="D240" s="11" t="s">
        <v>31</v>
      </c>
      <c r="E240" s="10" t="s">
        <v>31</v>
      </c>
      <c r="F240" s="42">
        <v>24</v>
      </c>
      <c r="G240" s="11">
        <v>24</v>
      </c>
      <c r="H240">
        <f>IF(F240=G240,1,0)</f>
        <v>1</v>
      </c>
    </row>
    <row r="241" spans="1:8" ht="15.75" x14ac:dyDescent="0.25">
      <c r="A241" s="10" t="s">
        <v>159</v>
      </c>
      <c r="B241" s="11">
        <v>1</v>
      </c>
      <c r="C241" s="11">
        <v>2.4</v>
      </c>
      <c r="D241" s="11" t="s">
        <v>31</v>
      </c>
      <c r="E241" s="10" t="s">
        <v>31</v>
      </c>
      <c r="F241" s="42">
        <v>24</v>
      </c>
      <c r="G241" s="11">
        <v>24</v>
      </c>
      <c r="H241">
        <f>IF(F241=G241,1,0)</f>
        <v>1</v>
      </c>
    </row>
    <row r="242" spans="1:8" ht="15.75" x14ac:dyDescent="0.25">
      <c r="A242" s="10" t="s">
        <v>160</v>
      </c>
      <c r="B242" s="11">
        <v>2</v>
      </c>
      <c r="C242" s="11">
        <v>10.9</v>
      </c>
      <c r="D242" s="11" t="s">
        <v>31</v>
      </c>
      <c r="E242" s="10" t="s">
        <v>31</v>
      </c>
      <c r="F242" s="42">
        <v>48</v>
      </c>
      <c r="G242" s="11">
        <v>48</v>
      </c>
      <c r="H242">
        <f>IF(F242=G242,1,0)</f>
        <v>1</v>
      </c>
    </row>
    <row r="243" spans="1:8" ht="15.75" x14ac:dyDescent="0.25">
      <c r="A243" s="10" t="s">
        <v>161</v>
      </c>
      <c r="B243" s="11">
        <v>1</v>
      </c>
      <c r="C243" s="11">
        <v>2.1399999999999997</v>
      </c>
      <c r="D243" s="11" t="s">
        <v>31</v>
      </c>
      <c r="E243" s="10" t="s">
        <v>31</v>
      </c>
      <c r="F243" s="42">
        <v>24</v>
      </c>
      <c r="G243" s="11">
        <v>24</v>
      </c>
      <c r="H243">
        <f>IF(F243=G243,1,0)</f>
        <v>1</v>
      </c>
    </row>
    <row r="244" spans="1:8" ht="15.75" x14ac:dyDescent="0.25">
      <c r="A244" s="10" t="s">
        <v>162</v>
      </c>
      <c r="B244" s="11">
        <v>3</v>
      </c>
      <c r="C244" s="11">
        <v>6.93</v>
      </c>
      <c r="D244" s="11" t="s">
        <v>31</v>
      </c>
      <c r="E244" s="10" t="s">
        <v>31</v>
      </c>
      <c r="F244" s="42">
        <v>72</v>
      </c>
      <c r="G244" s="11">
        <v>72</v>
      </c>
      <c r="H244">
        <f>IF(F244=G244,1,0)</f>
        <v>1</v>
      </c>
    </row>
    <row r="245" spans="1:8" ht="15.75" x14ac:dyDescent="0.25">
      <c r="A245" s="10" t="s">
        <v>163</v>
      </c>
      <c r="B245" s="11">
        <v>3</v>
      </c>
      <c r="C245" s="11">
        <v>6.42</v>
      </c>
      <c r="D245" s="11" t="s">
        <v>31</v>
      </c>
      <c r="E245" s="10" t="s">
        <v>31</v>
      </c>
      <c r="F245" s="42">
        <v>72</v>
      </c>
      <c r="G245" s="11">
        <v>72</v>
      </c>
      <c r="H245">
        <f>IF(F245=G245,1,0)</f>
        <v>1</v>
      </c>
    </row>
    <row r="246" spans="1:8" ht="15.75" x14ac:dyDescent="0.25">
      <c r="A246" s="10" t="s">
        <v>35</v>
      </c>
      <c r="B246" s="11" t="s">
        <v>35</v>
      </c>
      <c r="C246" s="11"/>
      <c r="D246" s="11" t="s">
        <v>31</v>
      </c>
      <c r="E246" s="10" t="s">
        <v>31</v>
      </c>
      <c r="F246" s="11" t="s">
        <v>35</v>
      </c>
      <c r="G246" s="11" t="s">
        <v>35</v>
      </c>
      <c r="H246">
        <f>IF(F246=G246,1,0)</f>
        <v>1</v>
      </c>
    </row>
    <row r="247" spans="1:8" ht="15.75" x14ac:dyDescent="0.25">
      <c r="A247" s="10" t="s">
        <v>35</v>
      </c>
      <c r="B247" s="11" t="s">
        <v>35</v>
      </c>
      <c r="C247" s="11"/>
      <c r="D247" s="11" t="s">
        <v>31</v>
      </c>
      <c r="E247" s="10" t="s">
        <v>31</v>
      </c>
      <c r="F247" s="11" t="s">
        <v>35</v>
      </c>
      <c r="G247" s="11" t="s">
        <v>35</v>
      </c>
      <c r="H247">
        <f>IF(F247=G247,1,0)</f>
        <v>1</v>
      </c>
    </row>
    <row r="248" spans="1:8" ht="15.75" x14ac:dyDescent="0.25">
      <c r="A248" s="10" t="s">
        <v>132</v>
      </c>
      <c r="B248" s="11">
        <v>1</v>
      </c>
      <c r="C248" s="11">
        <v>2.1399999999999997</v>
      </c>
      <c r="D248" s="11" t="s">
        <v>31</v>
      </c>
      <c r="E248" s="10" t="s">
        <v>31</v>
      </c>
      <c r="F248" s="42">
        <v>24</v>
      </c>
      <c r="G248" s="11">
        <v>24</v>
      </c>
      <c r="H248">
        <f>IF(F248=G248,1,0)</f>
        <v>1</v>
      </c>
    </row>
    <row r="249" spans="1:8" ht="15.75" x14ac:dyDescent="0.25">
      <c r="A249" s="10" t="s">
        <v>164</v>
      </c>
      <c r="B249" s="11">
        <v>1</v>
      </c>
      <c r="C249" s="11">
        <v>2.1399999999999997</v>
      </c>
      <c r="D249" s="11" t="s">
        <v>31</v>
      </c>
      <c r="E249" s="10" t="s">
        <v>31</v>
      </c>
      <c r="F249" s="42">
        <v>24</v>
      </c>
      <c r="G249" s="11">
        <v>24</v>
      </c>
      <c r="H249">
        <f>IF(F249=G249,1,0)</f>
        <v>1</v>
      </c>
    </row>
    <row r="250" spans="1:8" ht="15.75" x14ac:dyDescent="0.25">
      <c r="A250" s="10" t="s">
        <v>165</v>
      </c>
      <c r="B250" s="11">
        <v>1</v>
      </c>
      <c r="C250" s="11">
        <v>2.1399999999999997</v>
      </c>
      <c r="D250" s="11" t="s">
        <v>31</v>
      </c>
      <c r="E250" s="10" t="s">
        <v>31</v>
      </c>
      <c r="F250" s="42">
        <v>24</v>
      </c>
      <c r="G250" s="11">
        <v>24</v>
      </c>
      <c r="H250">
        <f>IF(F250=G250,1,0)</f>
        <v>1</v>
      </c>
    </row>
    <row r="251" spans="1:8" ht="15.75" x14ac:dyDescent="0.25">
      <c r="A251" s="10" t="s">
        <v>166</v>
      </c>
      <c r="B251" s="11">
        <v>2</v>
      </c>
      <c r="C251" s="11">
        <v>15.7</v>
      </c>
      <c r="D251" s="11" t="s">
        <v>31</v>
      </c>
      <c r="E251" s="10" t="s">
        <v>31</v>
      </c>
      <c r="F251" s="42">
        <v>48</v>
      </c>
      <c r="G251" s="11">
        <v>48</v>
      </c>
      <c r="H251">
        <f>IF(F251=G251,1,0)</f>
        <v>1</v>
      </c>
    </row>
    <row r="252" spans="1:8" ht="15.75" x14ac:dyDescent="0.25">
      <c r="A252" s="10" t="s">
        <v>35</v>
      </c>
      <c r="B252" s="11" t="s">
        <v>35</v>
      </c>
      <c r="C252" s="11"/>
      <c r="D252" s="11" t="s">
        <v>31</v>
      </c>
      <c r="E252" s="10" t="s">
        <v>31</v>
      </c>
      <c r="F252" s="11" t="s">
        <v>35</v>
      </c>
      <c r="G252" s="11" t="s">
        <v>35</v>
      </c>
      <c r="H252">
        <f>IF(F252=G252,1,0)</f>
        <v>1</v>
      </c>
    </row>
    <row r="253" spans="1:8" ht="15.75" x14ac:dyDescent="0.25">
      <c r="A253" s="10" t="s">
        <v>166</v>
      </c>
      <c r="B253" s="11">
        <v>2</v>
      </c>
      <c r="C253" s="11">
        <v>15.7</v>
      </c>
      <c r="D253" s="11" t="s">
        <v>31</v>
      </c>
      <c r="E253" s="10" t="s">
        <v>31</v>
      </c>
      <c r="F253" s="42">
        <v>48</v>
      </c>
      <c r="G253" s="11">
        <v>48</v>
      </c>
      <c r="H253">
        <f>IF(F253=G253,1,0)</f>
        <v>1</v>
      </c>
    </row>
    <row r="254" spans="1:8" ht="15.75" x14ac:dyDescent="0.25">
      <c r="A254" s="10" t="s">
        <v>35</v>
      </c>
      <c r="B254" s="11" t="s">
        <v>35</v>
      </c>
      <c r="C254" s="11"/>
      <c r="D254" s="11" t="s">
        <v>31</v>
      </c>
      <c r="E254" s="10" t="s">
        <v>31</v>
      </c>
      <c r="F254" s="11" t="s">
        <v>35</v>
      </c>
      <c r="G254" s="11" t="s">
        <v>35</v>
      </c>
      <c r="H254">
        <f>IF(F254=G254,1,0)</f>
        <v>1</v>
      </c>
    </row>
    <row r="255" spans="1:8" ht="15.75" x14ac:dyDescent="0.25">
      <c r="A255" s="10" t="s">
        <v>139</v>
      </c>
      <c r="B255" s="11">
        <v>1</v>
      </c>
      <c r="C255" s="11">
        <v>16</v>
      </c>
      <c r="D255" s="11" t="s">
        <v>31</v>
      </c>
      <c r="E255" s="10" t="s">
        <v>31</v>
      </c>
      <c r="F255" s="42">
        <v>24</v>
      </c>
      <c r="G255" s="11">
        <v>24</v>
      </c>
      <c r="H255">
        <f>IF(F255=G255,1,0)</f>
        <v>1</v>
      </c>
    </row>
    <row r="256" spans="1:8" ht="15.75" x14ac:dyDescent="0.25">
      <c r="A256" s="10" t="s">
        <v>139</v>
      </c>
      <c r="B256" s="11">
        <v>1</v>
      </c>
      <c r="C256" s="11">
        <v>16</v>
      </c>
      <c r="D256" s="11" t="s">
        <v>31</v>
      </c>
      <c r="E256" s="10" t="s">
        <v>31</v>
      </c>
      <c r="F256" s="42">
        <v>24</v>
      </c>
      <c r="G256" s="11">
        <v>24</v>
      </c>
      <c r="H256">
        <f>IF(F256=G256,1,0)</f>
        <v>1</v>
      </c>
    </row>
    <row r="257" spans="1:8" ht="15.75" x14ac:dyDescent="0.25">
      <c r="A257" s="10" t="s">
        <v>167</v>
      </c>
      <c r="B257" s="11">
        <v>1</v>
      </c>
      <c r="C257" s="11">
        <v>7.5</v>
      </c>
      <c r="D257" s="11" t="s">
        <v>31</v>
      </c>
      <c r="E257" s="10" t="s">
        <v>31</v>
      </c>
      <c r="F257" s="42">
        <v>24</v>
      </c>
      <c r="G257" s="11">
        <v>24</v>
      </c>
      <c r="H257">
        <f>IF(F257=G257,1,0)</f>
        <v>1</v>
      </c>
    </row>
    <row r="258" spans="1:8" ht="15.75" x14ac:dyDescent="0.25">
      <c r="A258" s="10" t="s">
        <v>167</v>
      </c>
      <c r="B258" s="11">
        <v>1</v>
      </c>
      <c r="C258" s="11">
        <v>7.5</v>
      </c>
      <c r="D258" s="11" t="s">
        <v>31</v>
      </c>
      <c r="E258" s="10" t="s">
        <v>31</v>
      </c>
      <c r="F258" s="42">
        <v>24</v>
      </c>
      <c r="G258" s="11">
        <v>24</v>
      </c>
      <c r="H258">
        <f>IF(F258=G258,1,0)</f>
        <v>1</v>
      </c>
    </row>
    <row r="259" spans="1:8" ht="15.75" x14ac:dyDescent="0.25">
      <c r="A259" s="10" t="s">
        <v>167</v>
      </c>
      <c r="B259" s="11">
        <v>1</v>
      </c>
      <c r="C259" s="11">
        <v>7.5</v>
      </c>
      <c r="D259" s="11" t="s">
        <v>31</v>
      </c>
      <c r="E259" s="10" t="s">
        <v>31</v>
      </c>
      <c r="F259" s="42">
        <v>24</v>
      </c>
      <c r="G259" s="11">
        <v>24</v>
      </c>
      <c r="H259">
        <f>IF(F259=G259,1,0)</f>
        <v>1</v>
      </c>
    </row>
    <row r="260" spans="1:8" ht="15.75" x14ac:dyDescent="0.25">
      <c r="A260" s="10" t="s">
        <v>168</v>
      </c>
      <c r="B260" s="11">
        <v>1</v>
      </c>
      <c r="C260" s="11">
        <v>3.3</v>
      </c>
      <c r="D260" s="11" t="s">
        <v>31</v>
      </c>
      <c r="E260" s="10" t="s">
        <v>31</v>
      </c>
      <c r="F260" s="42">
        <v>24</v>
      </c>
      <c r="G260" s="11">
        <v>24</v>
      </c>
      <c r="H260">
        <f>IF(F260=G260,1,0)</f>
        <v>1</v>
      </c>
    </row>
    <row r="261" spans="1:8" ht="15.75" x14ac:dyDescent="0.25">
      <c r="A261" s="10" t="s">
        <v>170</v>
      </c>
      <c r="B261" s="11">
        <v>1</v>
      </c>
      <c r="C261" s="11">
        <v>5.4</v>
      </c>
      <c r="D261" s="11" t="s">
        <v>31</v>
      </c>
      <c r="E261" s="10" t="s">
        <v>31</v>
      </c>
      <c r="F261" s="42">
        <v>24</v>
      </c>
      <c r="G261" s="11">
        <v>24</v>
      </c>
      <c r="H261">
        <f>IF(F261=G261,1,0)</f>
        <v>1</v>
      </c>
    </row>
    <row r="262" spans="1:8" ht="15.75" x14ac:dyDescent="0.25">
      <c r="A262" s="10" t="s">
        <v>171</v>
      </c>
      <c r="B262" s="11">
        <v>1</v>
      </c>
      <c r="C262" s="11">
        <v>9</v>
      </c>
      <c r="D262" s="11" t="s">
        <v>31</v>
      </c>
      <c r="E262" s="10" t="s">
        <v>31</v>
      </c>
      <c r="F262" s="42">
        <v>24</v>
      </c>
      <c r="G262" s="11">
        <v>24</v>
      </c>
      <c r="H262">
        <f>IF(F262=G262,1,0)</f>
        <v>1</v>
      </c>
    </row>
    <row r="263" spans="1:8" ht="15.75" x14ac:dyDescent="0.25">
      <c r="A263" s="10" t="s">
        <v>172</v>
      </c>
      <c r="B263" s="11">
        <v>2</v>
      </c>
      <c r="C263" s="11">
        <v>24.06</v>
      </c>
      <c r="D263" s="11" t="s">
        <v>31</v>
      </c>
      <c r="E263" s="10" t="s">
        <v>31</v>
      </c>
      <c r="F263" s="42">
        <v>48</v>
      </c>
      <c r="G263" s="11">
        <v>48</v>
      </c>
      <c r="H263">
        <f>IF(F263=G263,1,0)</f>
        <v>1</v>
      </c>
    </row>
    <row r="264" spans="1:8" ht="15.75" x14ac:dyDescent="0.25">
      <c r="A264" s="10" t="s">
        <v>35</v>
      </c>
      <c r="B264" s="11" t="s">
        <v>35</v>
      </c>
      <c r="C264" s="11"/>
      <c r="D264" s="11" t="s">
        <v>31</v>
      </c>
      <c r="E264" s="10" t="s">
        <v>31</v>
      </c>
      <c r="F264" s="11" t="s">
        <v>35</v>
      </c>
      <c r="G264" s="11" t="s">
        <v>35</v>
      </c>
      <c r="H264">
        <f>IF(F264=G264,1,0)</f>
        <v>1</v>
      </c>
    </row>
    <row r="265" spans="1:8" ht="15.75" x14ac:dyDescent="0.25">
      <c r="A265" s="10" t="s">
        <v>173</v>
      </c>
      <c r="B265" s="11">
        <v>1</v>
      </c>
      <c r="C265" s="11">
        <v>7.2</v>
      </c>
      <c r="D265" s="11" t="s">
        <v>31</v>
      </c>
      <c r="E265" s="10" t="s">
        <v>31</v>
      </c>
      <c r="F265" s="42">
        <v>24</v>
      </c>
      <c r="G265" s="11">
        <v>24</v>
      </c>
      <c r="H265">
        <f>IF(F265=G265,1,0)</f>
        <v>1</v>
      </c>
    </row>
    <row r="266" spans="1:8" ht="15.75" x14ac:dyDescent="0.25">
      <c r="A266" s="10" t="s">
        <v>174</v>
      </c>
      <c r="B266" s="11">
        <v>24</v>
      </c>
      <c r="C266" s="11">
        <v>92</v>
      </c>
      <c r="D266" s="11" t="s">
        <v>31</v>
      </c>
      <c r="E266" s="10" t="s">
        <v>31</v>
      </c>
      <c r="F266" s="42">
        <v>576</v>
      </c>
      <c r="G266" s="11">
        <v>576</v>
      </c>
      <c r="H266">
        <f>IF(F266=G266,1,0)</f>
        <v>1</v>
      </c>
    </row>
    <row r="267" spans="1:8" ht="15.75" x14ac:dyDescent="0.25">
      <c r="A267" s="10" t="s">
        <v>35</v>
      </c>
      <c r="B267" s="11" t="s">
        <v>35</v>
      </c>
      <c r="C267" s="11"/>
      <c r="D267" s="11" t="s">
        <v>31</v>
      </c>
      <c r="E267" s="10" t="s">
        <v>31</v>
      </c>
      <c r="F267" s="11" t="s">
        <v>35</v>
      </c>
      <c r="G267" s="11" t="s">
        <v>35</v>
      </c>
      <c r="H267">
        <f>IF(F267=G267,1,0)</f>
        <v>1</v>
      </c>
    </row>
    <row r="268" spans="1:8" ht="15.75" x14ac:dyDescent="0.25">
      <c r="A268" s="10" t="s">
        <v>35</v>
      </c>
      <c r="B268" s="11" t="s">
        <v>35</v>
      </c>
      <c r="C268" s="11"/>
      <c r="D268" s="11" t="s">
        <v>31</v>
      </c>
      <c r="E268" s="10" t="s">
        <v>31</v>
      </c>
      <c r="F268" s="11" t="s">
        <v>35</v>
      </c>
      <c r="G268" s="11" t="s">
        <v>35</v>
      </c>
      <c r="H268">
        <f>IF(F268=G268,1,0)</f>
        <v>1</v>
      </c>
    </row>
    <row r="269" spans="1:8" ht="15.75" x14ac:dyDescent="0.25">
      <c r="A269" s="10" t="s">
        <v>35</v>
      </c>
      <c r="B269" s="11" t="s">
        <v>35</v>
      </c>
      <c r="C269" s="11"/>
      <c r="D269" s="11" t="s">
        <v>31</v>
      </c>
      <c r="E269" s="10" t="s">
        <v>31</v>
      </c>
      <c r="F269" s="11" t="s">
        <v>35</v>
      </c>
      <c r="G269" s="11" t="s">
        <v>35</v>
      </c>
      <c r="H269">
        <f>IF(F269=G269,1,0)</f>
        <v>1</v>
      </c>
    </row>
    <row r="270" spans="1:8" ht="15.75" x14ac:dyDescent="0.25">
      <c r="A270" s="10" t="s">
        <v>35</v>
      </c>
      <c r="B270" s="11" t="s">
        <v>35</v>
      </c>
      <c r="C270" s="11"/>
      <c r="D270" s="11" t="s">
        <v>31</v>
      </c>
      <c r="E270" s="10" t="s">
        <v>31</v>
      </c>
      <c r="F270" s="11" t="s">
        <v>35</v>
      </c>
      <c r="G270" s="11" t="s">
        <v>35</v>
      </c>
      <c r="H270">
        <f>IF(F270=G270,1,0)</f>
        <v>1</v>
      </c>
    </row>
    <row r="271" spans="1:8" ht="15.75" x14ac:dyDescent="0.25">
      <c r="A271" s="10" t="s">
        <v>35</v>
      </c>
      <c r="B271" s="11" t="s">
        <v>35</v>
      </c>
      <c r="C271" s="11"/>
      <c r="D271" s="11" t="s">
        <v>31</v>
      </c>
      <c r="E271" s="10" t="s">
        <v>31</v>
      </c>
      <c r="F271" s="11" t="s">
        <v>35</v>
      </c>
      <c r="G271" s="11" t="s">
        <v>35</v>
      </c>
      <c r="H271">
        <f>IF(F271=G271,1,0)</f>
        <v>1</v>
      </c>
    </row>
    <row r="272" spans="1:8" ht="15.75" x14ac:dyDescent="0.25">
      <c r="A272" s="10" t="s">
        <v>35</v>
      </c>
      <c r="B272" s="11" t="s">
        <v>35</v>
      </c>
      <c r="C272" s="11"/>
      <c r="D272" s="11" t="s">
        <v>31</v>
      </c>
      <c r="E272" s="10" t="s">
        <v>31</v>
      </c>
      <c r="F272" s="11" t="s">
        <v>35</v>
      </c>
      <c r="G272" s="11" t="s">
        <v>35</v>
      </c>
      <c r="H272">
        <f>IF(F272=G272,1,0)</f>
        <v>1</v>
      </c>
    </row>
    <row r="273" spans="1:8" ht="15.75" x14ac:dyDescent="0.25">
      <c r="A273" s="10" t="s">
        <v>35</v>
      </c>
      <c r="B273" s="11" t="s">
        <v>35</v>
      </c>
      <c r="C273" s="11"/>
      <c r="D273" s="11" t="s">
        <v>31</v>
      </c>
      <c r="E273" s="10" t="s">
        <v>31</v>
      </c>
      <c r="F273" s="11" t="s">
        <v>35</v>
      </c>
      <c r="G273" s="11" t="s">
        <v>35</v>
      </c>
      <c r="H273">
        <f>IF(F273=G273,1,0)</f>
        <v>1</v>
      </c>
    </row>
    <row r="274" spans="1:8" ht="15.75" x14ac:dyDescent="0.25">
      <c r="A274" s="10" t="s">
        <v>35</v>
      </c>
      <c r="B274" s="11" t="s">
        <v>35</v>
      </c>
      <c r="C274" s="11"/>
      <c r="D274" s="11" t="s">
        <v>31</v>
      </c>
      <c r="E274" s="10" t="s">
        <v>31</v>
      </c>
      <c r="F274" s="11" t="s">
        <v>35</v>
      </c>
      <c r="G274" s="11" t="s">
        <v>35</v>
      </c>
      <c r="H274">
        <f>IF(F274=G274,1,0)</f>
        <v>1</v>
      </c>
    </row>
    <row r="275" spans="1:8" ht="15.75" x14ac:dyDescent="0.25">
      <c r="A275" s="10" t="s">
        <v>35</v>
      </c>
      <c r="B275" s="11" t="s">
        <v>35</v>
      </c>
      <c r="C275" s="11"/>
      <c r="D275" s="11" t="s">
        <v>31</v>
      </c>
      <c r="E275" s="10" t="s">
        <v>31</v>
      </c>
      <c r="F275" s="11" t="s">
        <v>35</v>
      </c>
      <c r="G275" s="11" t="s">
        <v>35</v>
      </c>
      <c r="H275">
        <f>IF(F275=G275,1,0)</f>
        <v>1</v>
      </c>
    </row>
    <row r="276" spans="1:8" ht="15.75" x14ac:dyDescent="0.25">
      <c r="A276" s="10" t="s">
        <v>35</v>
      </c>
      <c r="B276" s="11" t="s">
        <v>35</v>
      </c>
      <c r="C276" s="11"/>
      <c r="D276" s="11" t="s">
        <v>31</v>
      </c>
      <c r="E276" s="10" t="s">
        <v>31</v>
      </c>
      <c r="F276" s="11" t="s">
        <v>35</v>
      </c>
      <c r="G276" s="11" t="s">
        <v>35</v>
      </c>
      <c r="H276">
        <f>IF(F276=G276,1,0)</f>
        <v>1</v>
      </c>
    </row>
    <row r="277" spans="1:8" ht="15.75" x14ac:dyDescent="0.25">
      <c r="A277" s="10" t="s">
        <v>35</v>
      </c>
      <c r="B277" s="11" t="s">
        <v>35</v>
      </c>
      <c r="C277" s="11"/>
      <c r="D277" s="11" t="s">
        <v>31</v>
      </c>
      <c r="E277" s="10" t="s">
        <v>31</v>
      </c>
      <c r="F277" s="11" t="s">
        <v>35</v>
      </c>
      <c r="G277" s="11" t="s">
        <v>35</v>
      </c>
      <c r="H277">
        <f>IF(F277=G277,1,0)</f>
        <v>1</v>
      </c>
    </row>
    <row r="278" spans="1:8" ht="15.75" x14ac:dyDescent="0.25">
      <c r="A278" s="10" t="s">
        <v>35</v>
      </c>
      <c r="B278" s="11" t="s">
        <v>35</v>
      </c>
      <c r="C278" s="11"/>
      <c r="D278" s="11" t="s">
        <v>31</v>
      </c>
      <c r="E278" s="10" t="s">
        <v>31</v>
      </c>
      <c r="F278" s="11" t="s">
        <v>35</v>
      </c>
      <c r="G278" s="11" t="s">
        <v>35</v>
      </c>
      <c r="H278">
        <f>IF(F278=G278,1,0)</f>
        <v>1</v>
      </c>
    </row>
    <row r="279" spans="1:8" ht="15.75" x14ac:dyDescent="0.25">
      <c r="A279" s="10" t="s">
        <v>35</v>
      </c>
      <c r="B279" s="11" t="s">
        <v>35</v>
      </c>
      <c r="C279" s="11"/>
      <c r="D279" s="11" t="s">
        <v>31</v>
      </c>
      <c r="E279" s="10" t="s">
        <v>31</v>
      </c>
      <c r="F279" s="11" t="s">
        <v>35</v>
      </c>
      <c r="G279" s="11" t="s">
        <v>35</v>
      </c>
      <c r="H279">
        <f>IF(F279=G279,1,0)</f>
        <v>1</v>
      </c>
    </row>
    <row r="280" spans="1:8" ht="15.75" x14ac:dyDescent="0.25">
      <c r="A280" s="10" t="s">
        <v>35</v>
      </c>
      <c r="B280" s="11" t="s">
        <v>35</v>
      </c>
      <c r="C280" s="11"/>
      <c r="D280" s="11" t="s">
        <v>31</v>
      </c>
      <c r="E280" s="10" t="s">
        <v>31</v>
      </c>
      <c r="F280" s="11" t="s">
        <v>35</v>
      </c>
      <c r="G280" s="11" t="s">
        <v>35</v>
      </c>
      <c r="H280">
        <f>IF(F280=G280,1,0)</f>
        <v>1</v>
      </c>
    </row>
    <row r="281" spans="1:8" ht="15.75" x14ac:dyDescent="0.25">
      <c r="A281" s="10" t="s">
        <v>35</v>
      </c>
      <c r="B281" s="11" t="s">
        <v>35</v>
      </c>
      <c r="C281" s="11"/>
      <c r="D281" s="11" t="s">
        <v>31</v>
      </c>
      <c r="E281" s="10" t="s">
        <v>31</v>
      </c>
      <c r="F281" s="11" t="s">
        <v>35</v>
      </c>
      <c r="G281" s="11" t="s">
        <v>35</v>
      </c>
      <c r="H281">
        <f>IF(F281=G281,1,0)</f>
        <v>1</v>
      </c>
    </row>
    <row r="282" spans="1:8" ht="15.75" x14ac:dyDescent="0.25">
      <c r="A282" s="10" t="s">
        <v>35</v>
      </c>
      <c r="B282" s="11" t="s">
        <v>35</v>
      </c>
      <c r="C282" s="11"/>
      <c r="D282" s="11" t="s">
        <v>31</v>
      </c>
      <c r="E282" s="10" t="s">
        <v>31</v>
      </c>
      <c r="F282" s="11" t="s">
        <v>35</v>
      </c>
      <c r="G282" s="11" t="s">
        <v>35</v>
      </c>
      <c r="H282">
        <f>IF(F282=G282,1,0)</f>
        <v>1</v>
      </c>
    </row>
    <row r="283" spans="1:8" ht="15.75" x14ac:dyDescent="0.25">
      <c r="A283" s="10" t="s">
        <v>35</v>
      </c>
      <c r="B283" s="11" t="s">
        <v>35</v>
      </c>
      <c r="C283" s="11"/>
      <c r="D283" s="11" t="s">
        <v>31</v>
      </c>
      <c r="E283" s="10" t="s">
        <v>31</v>
      </c>
      <c r="F283" s="11" t="s">
        <v>35</v>
      </c>
      <c r="G283" s="11" t="s">
        <v>35</v>
      </c>
      <c r="H283">
        <f>IF(F283=G283,1,0)</f>
        <v>1</v>
      </c>
    </row>
    <row r="284" spans="1:8" ht="15.75" x14ac:dyDescent="0.25">
      <c r="A284" s="10" t="s">
        <v>35</v>
      </c>
      <c r="B284" s="11" t="s">
        <v>35</v>
      </c>
      <c r="C284" s="11"/>
      <c r="D284" s="11" t="s">
        <v>31</v>
      </c>
      <c r="E284" s="10" t="s">
        <v>31</v>
      </c>
      <c r="F284" s="11" t="s">
        <v>35</v>
      </c>
      <c r="G284" s="11" t="s">
        <v>35</v>
      </c>
      <c r="H284">
        <f>IF(F284=G284,1,0)</f>
        <v>1</v>
      </c>
    </row>
    <row r="285" spans="1:8" ht="15.75" x14ac:dyDescent="0.25">
      <c r="A285" s="10" t="s">
        <v>35</v>
      </c>
      <c r="B285" s="11" t="s">
        <v>35</v>
      </c>
      <c r="C285" s="11"/>
      <c r="D285" s="11" t="s">
        <v>31</v>
      </c>
      <c r="E285" s="10" t="s">
        <v>31</v>
      </c>
      <c r="F285" s="11" t="s">
        <v>35</v>
      </c>
      <c r="G285" s="11" t="s">
        <v>35</v>
      </c>
      <c r="H285">
        <f>IF(F285=G285,1,0)</f>
        <v>1</v>
      </c>
    </row>
    <row r="286" spans="1:8" ht="15.75" x14ac:dyDescent="0.25">
      <c r="A286" s="10" t="s">
        <v>35</v>
      </c>
      <c r="B286" s="11" t="s">
        <v>35</v>
      </c>
      <c r="C286" s="11"/>
      <c r="D286" s="11" t="s">
        <v>31</v>
      </c>
      <c r="E286" s="10" t="s">
        <v>31</v>
      </c>
      <c r="F286" s="11" t="s">
        <v>35</v>
      </c>
      <c r="G286" s="11" t="s">
        <v>35</v>
      </c>
      <c r="H286">
        <f>IF(F286=G286,1,0)</f>
        <v>1</v>
      </c>
    </row>
    <row r="287" spans="1:8" ht="15.75" x14ac:dyDescent="0.25">
      <c r="A287" s="10" t="s">
        <v>35</v>
      </c>
      <c r="B287" s="11" t="s">
        <v>35</v>
      </c>
      <c r="C287" s="11"/>
      <c r="D287" s="11" t="s">
        <v>31</v>
      </c>
      <c r="E287" s="10" t="s">
        <v>31</v>
      </c>
      <c r="F287" s="11" t="s">
        <v>35</v>
      </c>
      <c r="G287" s="11" t="s">
        <v>35</v>
      </c>
      <c r="H287">
        <f>IF(F287=G287,1,0)</f>
        <v>1</v>
      </c>
    </row>
    <row r="288" spans="1:8" ht="15.75" x14ac:dyDescent="0.25">
      <c r="A288" s="10" t="s">
        <v>35</v>
      </c>
      <c r="B288" s="11" t="s">
        <v>35</v>
      </c>
      <c r="C288" s="11"/>
      <c r="D288" s="11" t="s">
        <v>31</v>
      </c>
      <c r="E288" s="10" t="s">
        <v>31</v>
      </c>
      <c r="F288" s="11" t="s">
        <v>35</v>
      </c>
      <c r="G288" s="11" t="s">
        <v>35</v>
      </c>
      <c r="H288">
        <f>IF(F288=G288,1,0)</f>
        <v>1</v>
      </c>
    </row>
    <row r="289" spans="1:8" ht="15.75" x14ac:dyDescent="0.25">
      <c r="A289" s="10" t="s">
        <v>35</v>
      </c>
      <c r="B289" s="11" t="s">
        <v>35</v>
      </c>
      <c r="C289" s="11"/>
      <c r="D289" s="11" t="s">
        <v>31</v>
      </c>
      <c r="E289" s="10" t="s">
        <v>31</v>
      </c>
      <c r="F289" s="11" t="s">
        <v>35</v>
      </c>
      <c r="G289" s="11" t="s">
        <v>35</v>
      </c>
      <c r="H289">
        <f>IF(F289=G289,1,0)</f>
        <v>1</v>
      </c>
    </row>
    <row r="290" spans="1:8" ht="15.75" x14ac:dyDescent="0.25">
      <c r="A290" s="10" t="s">
        <v>175</v>
      </c>
      <c r="B290" s="11">
        <v>1</v>
      </c>
      <c r="C290" s="11">
        <v>16</v>
      </c>
      <c r="D290" s="11" t="s">
        <v>31</v>
      </c>
      <c r="E290" s="10" t="s">
        <v>31</v>
      </c>
      <c r="F290" s="42">
        <v>24</v>
      </c>
      <c r="G290" s="11">
        <v>24</v>
      </c>
      <c r="H290">
        <f>IF(F290=G290,1,0)</f>
        <v>1</v>
      </c>
    </row>
    <row r="291" spans="1:8" ht="15.75" x14ac:dyDescent="0.25">
      <c r="A291" s="10" t="s">
        <v>176</v>
      </c>
      <c r="B291" s="11">
        <v>5</v>
      </c>
      <c r="C291" s="11">
        <v>60.86</v>
      </c>
      <c r="D291" s="11" t="s">
        <v>31</v>
      </c>
      <c r="E291" s="10" t="s">
        <v>31</v>
      </c>
      <c r="F291" s="42">
        <v>120</v>
      </c>
      <c r="G291" s="11">
        <v>120</v>
      </c>
      <c r="H291">
        <f>IF(F291=G291,1,0)</f>
        <v>1</v>
      </c>
    </row>
    <row r="292" spans="1:8" ht="15.75" x14ac:dyDescent="0.25">
      <c r="A292" s="10" t="s">
        <v>35</v>
      </c>
      <c r="B292" s="11" t="s">
        <v>35</v>
      </c>
      <c r="C292" s="11"/>
      <c r="D292" s="11" t="s">
        <v>31</v>
      </c>
      <c r="E292" s="10" t="s">
        <v>31</v>
      </c>
      <c r="F292" s="11" t="s">
        <v>35</v>
      </c>
      <c r="G292" s="11" t="s">
        <v>35</v>
      </c>
      <c r="H292">
        <f>IF(F292=G292,1,0)</f>
        <v>1</v>
      </c>
    </row>
    <row r="293" spans="1:8" ht="15.75" x14ac:dyDescent="0.25">
      <c r="A293" s="10" t="s">
        <v>35</v>
      </c>
      <c r="B293" s="11" t="s">
        <v>35</v>
      </c>
      <c r="C293" s="11"/>
      <c r="D293" s="11" t="s">
        <v>31</v>
      </c>
      <c r="E293" s="10" t="s">
        <v>31</v>
      </c>
      <c r="F293" s="11" t="s">
        <v>35</v>
      </c>
      <c r="G293" s="11" t="s">
        <v>35</v>
      </c>
      <c r="H293">
        <f>IF(F293=G293,1,0)</f>
        <v>1</v>
      </c>
    </row>
    <row r="294" spans="1:8" ht="15.75" x14ac:dyDescent="0.25">
      <c r="A294" s="10" t="s">
        <v>35</v>
      </c>
      <c r="B294" s="11" t="s">
        <v>35</v>
      </c>
      <c r="C294" s="11"/>
      <c r="D294" s="11" t="s">
        <v>31</v>
      </c>
      <c r="E294" s="10" t="s">
        <v>31</v>
      </c>
      <c r="F294" s="11" t="s">
        <v>35</v>
      </c>
      <c r="G294" s="11" t="s">
        <v>35</v>
      </c>
      <c r="H294">
        <f>IF(F294=G294,1,0)</f>
        <v>1</v>
      </c>
    </row>
    <row r="295" spans="1:8" ht="15.75" x14ac:dyDescent="0.25">
      <c r="A295" s="10" t="s">
        <v>35</v>
      </c>
      <c r="B295" s="11" t="s">
        <v>35</v>
      </c>
      <c r="C295" s="11"/>
      <c r="D295" s="11" t="s">
        <v>31</v>
      </c>
      <c r="E295" s="10" t="s">
        <v>31</v>
      </c>
      <c r="F295" s="11" t="s">
        <v>35</v>
      </c>
      <c r="G295" s="11" t="s">
        <v>35</v>
      </c>
      <c r="H295">
        <f>IF(F295=G295,1,0)</f>
        <v>1</v>
      </c>
    </row>
    <row r="296" spans="1:8" ht="15.75" x14ac:dyDescent="0.25">
      <c r="A296" s="10" t="s">
        <v>177</v>
      </c>
      <c r="B296" s="11">
        <v>1</v>
      </c>
      <c r="C296" s="11">
        <v>12.33</v>
      </c>
      <c r="D296" s="11" t="s">
        <v>31</v>
      </c>
      <c r="E296" s="10" t="s">
        <v>31</v>
      </c>
      <c r="F296" s="42">
        <v>24</v>
      </c>
      <c r="G296" s="11">
        <v>24</v>
      </c>
      <c r="H296">
        <f>IF(F296=G296,1,0)</f>
        <v>1</v>
      </c>
    </row>
    <row r="297" spans="1:8" ht="15.75" x14ac:dyDescent="0.25">
      <c r="A297" s="10" t="s">
        <v>178</v>
      </c>
      <c r="B297" s="11">
        <v>1</v>
      </c>
      <c r="C297" s="11">
        <v>14.059999999999999</v>
      </c>
      <c r="D297" s="11" t="s">
        <v>31</v>
      </c>
      <c r="E297" s="10" t="s">
        <v>31</v>
      </c>
      <c r="F297" s="42">
        <v>24</v>
      </c>
      <c r="G297" s="11">
        <v>24</v>
      </c>
      <c r="H297">
        <f>IF(F297=G297,1,0)</f>
        <v>1</v>
      </c>
    </row>
    <row r="298" spans="1:8" ht="15.75" x14ac:dyDescent="0.25">
      <c r="A298" s="10" t="s">
        <v>179</v>
      </c>
      <c r="B298" s="11">
        <v>1</v>
      </c>
      <c r="C298" s="11">
        <v>9.5</v>
      </c>
      <c r="D298" s="11" t="s">
        <v>31</v>
      </c>
      <c r="E298" s="10" t="s">
        <v>31</v>
      </c>
      <c r="F298" s="42">
        <v>24</v>
      </c>
      <c r="G298" s="11">
        <v>24</v>
      </c>
      <c r="H298">
        <f>IF(F298=G298,1,0)</f>
        <v>1</v>
      </c>
    </row>
    <row r="299" spans="1:8" ht="15.75" x14ac:dyDescent="0.25">
      <c r="A299" s="10" t="s">
        <v>180</v>
      </c>
      <c r="B299" s="11">
        <v>1</v>
      </c>
      <c r="C299" s="11">
        <v>14.180000000000001</v>
      </c>
      <c r="D299" s="11" t="s">
        <v>31</v>
      </c>
      <c r="E299" s="10" t="s">
        <v>31</v>
      </c>
      <c r="F299" s="42">
        <v>24</v>
      </c>
      <c r="G299" s="11">
        <v>24</v>
      </c>
      <c r="H299">
        <f>IF(F299=G299,1,0)</f>
        <v>1</v>
      </c>
    </row>
    <row r="300" spans="1:8" ht="15.75" x14ac:dyDescent="0.25">
      <c r="A300" s="10" t="s">
        <v>180</v>
      </c>
      <c r="B300" s="11">
        <v>1</v>
      </c>
      <c r="C300" s="11">
        <v>14.319999999999999</v>
      </c>
      <c r="D300" s="11" t="s">
        <v>31</v>
      </c>
      <c r="E300" s="10" t="s">
        <v>31</v>
      </c>
      <c r="F300" s="42">
        <v>24</v>
      </c>
      <c r="G300" s="11">
        <v>24</v>
      </c>
      <c r="H300">
        <f>IF(F300=G300,1,0)</f>
        <v>1</v>
      </c>
    </row>
    <row r="301" spans="1:8" ht="15.75" x14ac:dyDescent="0.25">
      <c r="A301" s="10" t="s">
        <v>180</v>
      </c>
      <c r="B301" s="11">
        <v>1</v>
      </c>
      <c r="C301" s="11">
        <v>14.319999999999999</v>
      </c>
      <c r="D301" s="11" t="s">
        <v>31</v>
      </c>
      <c r="E301" s="10" t="s">
        <v>31</v>
      </c>
      <c r="F301" s="42">
        <v>24</v>
      </c>
      <c r="G301" s="11">
        <v>24</v>
      </c>
      <c r="H301">
        <f>IF(F301=G301,1,0)</f>
        <v>1</v>
      </c>
    </row>
    <row r="302" spans="1:8" ht="15.75" x14ac:dyDescent="0.25">
      <c r="A302" s="10" t="s">
        <v>181</v>
      </c>
      <c r="B302" s="11">
        <v>2</v>
      </c>
      <c r="C302" s="11">
        <v>10.379999999999999</v>
      </c>
      <c r="D302" s="11" t="s">
        <v>31</v>
      </c>
      <c r="E302" s="10" t="s">
        <v>31</v>
      </c>
      <c r="F302" s="42">
        <v>48</v>
      </c>
      <c r="G302" s="11">
        <v>48</v>
      </c>
      <c r="H302">
        <f>IF(F302=G302,1,0)</f>
        <v>1</v>
      </c>
    </row>
    <row r="303" spans="1:8" ht="15.75" x14ac:dyDescent="0.25">
      <c r="A303" s="10" t="s">
        <v>35</v>
      </c>
      <c r="B303" s="11" t="s">
        <v>35</v>
      </c>
      <c r="C303" s="11"/>
      <c r="D303" s="11" t="s">
        <v>31</v>
      </c>
      <c r="E303" s="10" t="s">
        <v>31</v>
      </c>
      <c r="F303" s="11" t="s">
        <v>35</v>
      </c>
      <c r="G303" s="11" t="s">
        <v>35</v>
      </c>
      <c r="H303">
        <f>IF(F303=G303,1,0)</f>
        <v>1</v>
      </c>
    </row>
    <row r="304" spans="1:8" ht="15.75" x14ac:dyDescent="0.25">
      <c r="A304" s="10" t="s">
        <v>182</v>
      </c>
      <c r="B304" s="11">
        <v>2</v>
      </c>
      <c r="C304" s="11">
        <v>12.379999999999999</v>
      </c>
      <c r="D304" s="11" t="s">
        <v>31</v>
      </c>
      <c r="E304" s="10" t="s">
        <v>31</v>
      </c>
      <c r="F304" s="42">
        <v>48</v>
      </c>
      <c r="G304" s="11">
        <v>48</v>
      </c>
      <c r="H304">
        <f>IF(F304=G304,1,0)</f>
        <v>1</v>
      </c>
    </row>
    <row r="305" spans="1:8" ht="15.75" x14ac:dyDescent="0.25">
      <c r="A305" s="10" t="s">
        <v>35</v>
      </c>
      <c r="B305" s="11" t="s">
        <v>35</v>
      </c>
      <c r="C305" s="11"/>
      <c r="D305" s="11" t="s">
        <v>31</v>
      </c>
      <c r="E305" s="10" t="s">
        <v>31</v>
      </c>
      <c r="F305" s="11" t="s">
        <v>35</v>
      </c>
      <c r="G305" s="11" t="s">
        <v>35</v>
      </c>
      <c r="H305">
        <f>IF(F305=G305,1,0)</f>
        <v>1</v>
      </c>
    </row>
    <row r="306" spans="1:8" ht="15.75" x14ac:dyDescent="0.25">
      <c r="A306" s="10" t="s">
        <v>183</v>
      </c>
      <c r="B306" s="11">
        <v>3</v>
      </c>
      <c r="C306" s="11">
        <v>27.880000000000003</v>
      </c>
      <c r="D306" s="11" t="s">
        <v>31</v>
      </c>
      <c r="E306" s="10" t="s">
        <v>31</v>
      </c>
      <c r="F306" s="42">
        <v>72</v>
      </c>
      <c r="G306" s="11">
        <v>72</v>
      </c>
      <c r="H306">
        <f>IF(F306=G306,1,0)</f>
        <v>1</v>
      </c>
    </row>
    <row r="307" spans="1:8" ht="15.75" x14ac:dyDescent="0.25">
      <c r="A307" s="10" t="s">
        <v>35</v>
      </c>
      <c r="B307" s="11" t="s">
        <v>35</v>
      </c>
      <c r="C307" s="11"/>
      <c r="D307" s="11" t="s">
        <v>31</v>
      </c>
      <c r="E307" s="10" t="s">
        <v>31</v>
      </c>
      <c r="F307" s="11" t="s">
        <v>35</v>
      </c>
      <c r="G307" s="11" t="s">
        <v>35</v>
      </c>
      <c r="H307">
        <f>IF(F307=G307,1,0)</f>
        <v>1</v>
      </c>
    </row>
    <row r="308" spans="1:8" ht="15.75" x14ac:dyDescent="0.25">
      <c r="A308" s="10" t="s">
        <v>35</v>
      </c>
      <c r="B308" s="11" t="s">
        <v>35</v>
      </c>
      <c r="C308" s="11"/>
      <c r="D308" s="11" t="s">
        <v>31</v>
      </c>
      <c r="E308" s="10" t="s">
        <v>31</v>
      </c>
      <c r="F308" s="11" t="s">
        <v>35</v>
      </c>
      <c r="G308" s="11" t="s">
        <v>35</v>
      </c>
      <c r="H308">
        <f>IF(F308=G308,1,0)</f>
        <v>1</v>
      </c>
    </row>
    <row r="309" spans="1:8" ht="15.75" x14ac:dyDescent="0.25">
      <c r="A309" s="10" t="s">
        <v>184</v>
      </c>
      <c r="B309" s="11">
        <v>1</v>
      </c>
      <c r="C309" s="11">
        <v>12.33</v>
      </c>
      <c r="D309" s="11" t="s">
        <v>31</v>
      </c>
      <c r="E309" s="10" t="s">
        <v>31</v>
      </c>
      <c r="F309" s="42">
        <v>24</v>
      </c>
      <c r="G309" s="11">
        <v>24</v>
      </c>
      <c r="H309">
        <f>IF(F309=G309,1,0)</f>
        <v>1</v>
      </c>
    </row>
    <row r="310" spans="1:8" ht="15.75" x14ac:dyDescent="0.25">
      <c r="A310" s="10" t="s">
        <v>185</v>
      </c>
      <c r="B310" s="11">
        <v>1</v>
      </c>
      <c r="C310" s="11">
        <v>12.33</v>
      </c>
      <c r="D310" s="11" t="s">
        <v>31</v>
      </c>
      <c r="E310" s="10" t="s">
        <v>31</v>
      </c>
      <c r="F310" s="42">
        <v>24</v>
      </c>
      <c r="G310" s="11">
        <v>24</v>
      </c>
      <c r="H310">
        <f>IF(F310=G310,1,0)</f>
        <v>1</v>
      </c>
    </row>
    <row r="311" spans="1:8" ht="15.75" x14ac:dyDescent="0.25">
      <c r="A311" s="10" t="s">
        <v>186</v>
      </c>
      <c r="B311" s="11">
        <v>1</v>
      </c>
      <c r="C311" s="11">
        <v>9</v>
      </c>
      <c r="D311" s="11" t="s">
        <v>31</v>
      </c>
      <c r="E311" s="10" t="s">
        <v>31</v>
      </c>
      <c r="F311" s="42">
        <v>24</v>
      </c>
      <c r="G311" s="11">
        <v>24</v>
      </c>
      <c r="H311">
        <f>IF(F311=G311,1,0)</f>
        <v>1</v>
      </c>
    </row>
    <row r="312" spans="1:8" ht="15.75" x14ac:dyDescent="0.25">
      <c r="A312" s="10" t="s">
        <v>187</v>
      </c>
      <c r="B312" s="11">
        <v>2</v>
      </c>
      <c r="C312" s="11">
        <v>1.083</v>
      </c>
      <c r="D312" s="21" t="s">
        <v>31</v>
      </c>
      <c r="E312" s="21" t="s">
        <v>31</v>
      </c>
      <c r="F312" s="42">
        <v>10</v>
      </c>
      <c r="G312" s="11">
        <v>10</v>
      </c>
      <c r="H312">
        <f>IF(F312=G312,1,0)</f>
        <v>1</v>
      </c>
    </row>
    <row r="313" spans="1:8" ht="15.75" x14ac:dyDescent="0.25">
      <c r="A313" s="10" t="s">
        <v>188</v>
      </c>
      <c r="B313" s="11">
        <v>2</v>
      </c>
      <c r="C313" s="11">
        <v>39</v>
      </c>
      <c r="D313" s="11" t="s">
        <v>31</v>
      </c>
      <c r="E313" s="10" t="s">
        <v>31</v>
      </c>
      <c r="F313" s="42">
        <v>48</v>
      </c>
      <c r="G313" s="11">
        <v>48</v>
      </c>
      <c r="H313">
        <f>IF(F313=G313,1,0)</f>
        <v>1</v>
      </c>
    </row>
    <row r="314" spans="1:8" ht="15.75" x14ac:dyDescent="0.25">
      <c r="A314" s="10" t="s">
        <v>35</v>
      </c>
      <c r="B314" s="11" t="s">
        <v>35</v>
      </c>
      <c r="C314" s="11"/>
      <c r="D314" s="11" t="s">
        <v>31</v>
      </c>
      <c r="E314" s="10" t="s">
        <v>31</v>
      </c>
      <c r="F314" s="11" t="s">
        <v>35</v>
      </c>
      <c r="G314" s="11" t="s">
        <v>35</v>
      </c>
      <c r="H314">
        <f>IF(F314=G314,1,0)</f>
        <v>1</v>
      </c>
    </row>
    <row r="315" spans="1:8" ht="15.75" x14ac:dyDescent="0.25">
      <c r="A315" s="10" t="s">
        <v>189</v>
      </c>
      <c r="B315" s="11">
        <v>1</v>
      </c>
      <c r="C315" s="11">
        <v>7.94</v>
      </c>
      <c r="D315" s="11" t="s">
        <v>31</v>
      </c>
      <c r="E315" s="10" t="s">
        <v>31</v>
      </c>
      <c r="F315" s="42">
        <v>24</v>
      </c>
      <c r="G315" s="11">
        <v>24</v>
      </c>
      <c r="H315">
        <f>IF(F315=G315,1,0)</f>
        <v>1</v>
      </c>
    </row>
    <row r="316" spans="1:8" ht="15.75" x14ac:dyDescent="0.25">
      <c r="A316" s="10" t="s">
        <v>108</v>
      </c>
      <c r="B316" s="11">
        <v>63</v>
      </c>
      <c r="C316" s="11">
        <v>698.61</v>
      </c>
      <c r="D316" s="12" t="s">
        <v>31</v>
      </c>
      <c r="E316" s="13" t="s">
        <v>31</v>
      </c>
      <c r="F316" s="42">
        <v>39.69</v>
      </c>
      <c r="G316" s="11">
        <v>39.69</v>
      </c>
      <c r="H316">
        <f>IF(F316=G316,1,0)</f>
        <v>1</v>
      </c>
    </row>
    <row r="317" spans="1:8" ht="15.75" x14ac:dyDescent="0.25">
      <c r="A317" s="10" t="s">
        <v>109</v>
      </c>
      <c r="B317" s="11">
        <v>108</v>
      </c>
      <c r="C317" s="11">
        <v>1172.02</v>
      </c>
      <c r="D317" s="12" t="s">
        <v>31</v>
      </c>
      <c r="E317" s="13" t="s">
        <v>31</v>
      </c>
      <c r="F317" s="42">
        <v>68.040000000000006</v>
      </c>
      <c r="G317" s="11">
        <v>68.040000000000006</v>
      </c>
      <c r="H317">
        <f>IF(F317=G317,1,0)</f>
        <v>1</v>
      </c>
    </row>
    <row r="318" spans="1:8" ht="15.75" x14ac:dyDescent="0.25">
      <c r="A318" s="10" t="s">
        <v>110</v>
      </c>
      <c r="B318" s="11">
        <v>131</v>
      </c>
      <c r="C318" s="11">
        <v>585.79999999999995</v>
      </c>
      <c r="D318" s="12" t="s">
        <v>31</v>
      </c>
      <c r="E318" s="13" t="s">
        <v>31</v>
      </c>
      <c r="F318" s="42">
        <v>82.53</v>
      </c>
      <c r="G318" s="11">
        <v>82.53</v>
      </c>
      <c r="H318">
        <f>IF(F318=G318,1,0)</f>
        <v>1</v>
      </c>
    </row>
    <row r="319" spans="1:8" ht="15.75" x14ac:dyDescent="0.25">
      <c r="A319" s="10" t="s">
        <v>111</v>
      </c>
      <c r="B319" s="11">
        <v>122</v>
      </c>
      <c r="C319" s="11">
        <v>789.51199999999994</v>
      </c>
      <c r="D319" s="12" t="s">
        <v>31</v>
      </c>
      <c r="E319" s="13" t="s">
        <v>31</v>
      </c>
      <c r="F319" s="42">
        <v>76.86</v>
      </c>
      <c r="G319" s="11">
        <v>76.86</v>
      </c>
      <c r="H319">
        <f>IF(F319=G319,1,0)</f>
        <v>1</v>
      </c>
    </row>
    <row r="320" spans="1:8" ht="15.75" x14ac:dyDescent="0.25">
      <c r="A320" s="10" t="s">
        <v>112</v>
      </c>
      <c r="B320" s="11">
        <v>37</v>
      </c>
      <c r="C320" s="11">
        <v>236.542</v>
      </c>
      <c r="D320" s="12" t="s">
        <v>31</v>
      </c>
      <c r="E320" s="13" t="s">
        <v>31</v>
      </c>
      <c r="F320" s="42">
        <v>23.31</v>
      </c>
      <c r="G320" s="11">
        <v>23.31</v>
      </c>
      <c r="H320">
        <f>IF(F320=G320,1,0)</f>
        <v>1</v>
      </c>
    </row>
    <row r="321" spans="1:8" ht="15.75" x14ac:dyDescent="0.25">
      <c r="A321" s="10" t="s">
        <v>118</v>
      </c>
      <c r="B321" s="11">
        <v>18</v>
      </c>
      <c r="C321" s="11">
        <v>201.27600000000001</v>
      </c>
      <c r="D321" s="16" t="s">
        <v>31</v>
      </c>
      <c r="E321" s="17" t="s">
        <v>31</v>
      </c>
      <c r="F321" s="42">
        <v>12.78</v>
      </c>
      <c r="G321" s="11">
        <v>12.78</v>
      </c>
      <c r="H321">
        <f>IF(F321=G321,1,0)</f>
        <v>1</v>
      </c>
    </row>
    <row r="322" spans="1:8" ht="15.75" x14ac:dyDescent="0.25">
      <c r="A322" s="10" t="s">
        <v>120</v>
      </c>
      <c r="B322" s="11">
        <v>8</v>
      </c>
      <c r="C322" s="11">
        <v>58.239999999999995</v>
      </c>
      <c r="D322" s="16" t="s">
        <v>31</v>
      </c>
      <c r="E322" s="17" t="s">
        <v>31</v>
      </c>
      <c r="F322" s="42">
        <v>5.68</v>
      </c>
      <c r="G322" s="11">
        <v>5.68</v>
      </c>
      <c r="H322">
        <f>IF(F322=G322,1,0)</f>
        <v>1</v>
      </c>
    </row>
    <row r="323" spans="1:8" ht="15.75" x14ac:dyDescent="0.25">
      <c r="A323" s="10" t="s">
        <v>121</v>
      </c>
      <c r="B323" s="11">
        <v>85</v>
      </c>
      <c r="C323" s="11">
        <v>113.33199999999999</v>
      </c>
      <c r="D323" s="16" t="s">
        <v>31</v>
      </c>
      <c r="E323" s="17" t="s">
        <v>31</v>
      </c>
      <c r="F323" s="42">
        <v>60.349999999999994</v>
      </c>
      <c r="G323" s="11">
        <v>60.349999999999994</v>
      </c>
      <c r="H323">
        <f>IF(F323=G323,1,0)</f>
        <v>1</v>
      </c>
    </row>
    <row r="324" spans="1:8" ht="15.75" x14ac:dyDescent="0.25">
      <c r="A324" s="10" t="s">
        <v>124</v>
      </c>
      <c r="B324" s="11">
        <v>1</v>
      </c>
      <c r="C324" s="11">
        <v>9.2789999999999999</v>
      </c>
      <c r="D324" s="18" t="s">
        <v>31</v>
      </c>
      <c r="E324" s="19" t="s">
        <v>31</v>
      </c>
      <c r="F324" s="42">
        <v>5</v>
      </c>
      <c r="G324" s="11">
        <v>5</v>
      </c>
      <c r="H324">
        <f>IF(F324=G324,1,0)</f>
        <v>1</v>
      </c>
    </row>
    <row r="325" spans="1:8" ht="15.75" x14ac:dyDescent="0.25">
      <c r="A325" s="10" t="s">
        <v>125</v>
      </c>
      <c r="B325" s="11">
        <v>3</v>
      </c>
      <c r="C325" s="11">
        <v>54.198</v>
      </c>
      <c r="D325" s="18" t="s">
        <v>31</v>
      </c>
      <c r="E325" s="19" t="s">
        <v>31</v>
      </c>
      <c r="F325" s="42">
        <v>15</v>
      </c>
      <c r="G325" s="11">
        <v>15</v>
      </c>
      <c r="H325">
        <f>IF(F325=G325,1,0)</f>
        <v>1</v>
      </c>
    </row>
    <row r="326" spans="1:8" ht="15.75" x14ac:dyDescent="0.25">
      <c r="A326" s="10" t="s">
        <v>126</v>
      </c>
      <c r="B326" s="11">
        <v>1</v>
      </c>
      <c r="C326" s="11">
        <v>14.5</v>
      </c>
      <c r="D326" s="11" t="s">
        <v>31</v>
      </c>
      <c r="E326" s="10" t="s">
        <v>31</v>
      </c>
      <c r="F326" s="42">
        <v>24</v>
      </c>
      <c r="G326" s="11">
        <v>24</v>
      </c>
      <c r="H326">
        <f>IF(F326=G326,1,0)</f>
        <v>1</v>
      </c>
    </row>
    <row r="327" spans="1:8" ht="15.75" x14ac:dyDescent="0.25">
      <c r="A327" s="10" t="s">
        <v>127</v>
      </c>
      <c r="B327" s="11">
        <v>1</v>
      </c>
      <c r="C327" s="11">
        <v>17</v>
      </c>
      <c r="D327" s="11" t="s">
        <v>31</v>
      </c>
      <c r="E327" s="10" t="s">
        <v>31</v>
      </c>
      <c r="F327" s="42">
        <v>24</v>
      </c>
      <c r="G327" s="11">
        <v>24</v>
      </c>
      <c r="H327">
        <f>IF(F327=G327,1,0)</f>
        <v>1</v>
      </c>
    </row>
    <row r="328" spans="1:8" ht="15.75" x14ac:dyDescent="0.25">
      <c r="A328" s="10" t="s">
        <v>128</v>
      </c>
      <c r="B328" s="11">
        <v>9</v>
      </c>
      <c r="C328" s="11">
        <v>227.608</v>
      </c>
      <c r="D328" s="11" t="s">
        <v>31</v>
      </c>
      <c r="E328" s="10" t="s">
        <v>31</v>
      </c>
      <c r="F328" s="42">
        <v>216</v>
      </c>
      <c r="G328" s="11">
        <v>216</v>
      </c>
      <c r="H328">
        <f>IF(F328=G328,1,0)</f>
        <v>1</v>
      </c>
    </row>
    <row r="329" spans="1:8" ht="15.75" x14ac:dyDescent="0.25">
      <c r="A329" s="10" t="s">
        <v>35</v>
      </c>
      <c r="B329" s="11">
        <v>21</v>
      </c>
      <c r="C329" s="11">
        <v>0</v>
      </c>
      <c r="D329" s="21" t="s">
        <v>31</v>
      </c>
      <c r="E329" s="20" t="s">
        <v>31</v>
      </c>
      <c r="F329" s="42">
        <v>105</v>
      </c>
      <c r="G329" s="11">
        <v>105</v>
      </c>
      <c r="H329">
        <f>IF(F329=G329,1,0)</f>
        <v>1</v>
      </c>
    </row>
    <row r="330" spans="1:8" ht="15.75" x14ac:dyDescent="0.25">
      <c r="A330" s="10" t="s">
        <v>129</v>
      </c>
      <c r="B330" s="11">
        <v>2</v>
      </c>
      <c r="C330" s="11">
        <v>19.086000000000002</v>
      </c>
      <c r="D330" s="11" t="s">
        <v>31</v>
      </c>
      <c r="E330" s="10" t="s">
        <v>31</v>
      </c>
      <c r="F330" s="42">
        <v>48</v>
      </c>
      <c r="G330" s="11">
        <v>48</v>
      </c>
      <c r="H330">
        <f>IF(F330=G330,1,0)</f>
        <v>1</v>
      </c>
    </row>
    <row r="331" spans="1:8" ht="15.75" x14ac:dyDescent="0.25">
      <c r="A331" s="10" t="s">
        <v>35</v>
      </c>
      <c r="B331" s="11">
        <v>1</v>
      </c>
      <c r="C331" s="11">
        <v>0</v>
      </c>
      <c r="D331" s="21" t="s">
        <v>31</v>
      </c>
      <c r="E331" s="20" t="s">
        <v>31</v>
      </c>
      <c r="F331" s="42">
        <v>5</v>
      </c>
      <c r="G331" s="11">
        <v>5</v>
      </c>
      <c r="H331">
        <f>IF(F331=G331,1,0)</f>
        <v>1</v>
      </c>
    </row>
    <row r="332" spans="1:8" ht="15.75" x14ac:dyDescent="0.25">
      <c r="A332" s="10" t="s">
        <v>131</v>
      </c>
      <c r="B332" s="11">
        <v>3</v>
      </c>
      <c r="C332" s="11">
        <v>10.28</v>
      </c>
      <c r="D332" s="21" t="s">
        <v>31</v>
      </c>
      <c r="E332" s="20" t="s">
        <v>31</v>
      </c>
      <c r="F332" s="42">
        <v>15</v>
      </c>
      <c r="G332" s="11">
        <v>15</v>
      </c>
      <c r="H332">
        <f>IF(F332=G332,1,0)</f>
        <v>1</v>
      </c>
    </row>
    <row r="333" spans="1:8" ht="15.75" x14ac:dyDescent="0.25">
      <c r="A333" s="10" t="s">
        <v>132</v>
      </c>
      <c r="B333" s="11">
        <v>1</v>
      </c>
      <c r="C333" s="11">
        <v>13.6</v>
      </c>
      <c r="D333" s="11" t="s">
        <v>31</v>
      </c>
      <c r="E333" s="10" t="s">
        <v>31</v>
      </c>
      <c r="F333" s="42">
        <v>24</v>
      </c>
      <c r="G333" s="11">
        <v>24</v>
      </c>
      <c r="H333">
        <f>IF(F333=G333,1,0)</f>
        <v>1</v>
      </c>
    </row>
    <row r="334" spans="1:8" ht="15.75" x14ac:dyDescent="0.25">
      <c r="A334" s="10" t="s">
        <v>133</v>
      </c>
      <c r="B334" s="11">
        <v>1</v>
      </c>
      <c r="C334" s="11">
        <v>18.5</v>
      </c>
      <c r="D334" s="11" t="s">
        <v>31</v>
      </c>
      <c r="E334" s="10" t="s">
        <v>31</v>
      </c>
      <c r="F334" s="42">
        <v>24</v>
      </c>
      <c r="G334" s="11">
        <v>24</v>
      </c>
      <c r="H334">
        <f>IF(F334=G334,1,0)</f>
        <v>1</v>
      </c>
    </row>
    <row r="335" spans="1:8" ht="15.75" x14ac:dyDescent="0.25">
      <c r="A335" s="10" t="s">
        <v>134</v>
      </c>
      <c r="B335" s="11">
        <v>1</v>
      </c>
      <c r="C335" s="11">
        <v>7</v>
      </c>
      <c r="D335" s="11" t="s">
        <v>31</v>
      </c>
      <c r="E335" s="10" t="s">
        <v>31</v>
      </c>
      <c r="F335" s="42">
        <v>24</v>
      </c>
      <c r="G335" s="11">
        <v>24</v>
      </c>
      <c r="H335">
        <f>IF(F335=G335,1,0)</f>
        <v>1</v>
      </c>
    </row>
    <row r="336" spans="1:8" ht="15.75" x14ac:dyDescent="0.25">
      <c r="A336" s="10" t="s">
        <v>35</v>
      </c>
      <c r="B336" s="11">
        <v>1</v>
      </c>
      <c r="C336" s="11">
        <v>10.9</v>
      </c>
      <c r="D336" s="11" t="s">
        <v>31</v>
      </c>
      <c r="E336" s="10" t="s">
        <v>31</v>
      </c>
      <c r="F336" s="42">
        <v>24</v>
      </c>
      <c r="G336" s="11">
        <v>24</v>
      </c>
      <c r="H336">
        <f>IF(F336=G336,1,0)</f>
        <v>1</v>
      </c>
    </row>
    <row r="337" spans="1:8" ht="15.75" x14ac:dyDescent="0.25">
      <c r="A337" s="10" t="s">
        <v>135</v>
      </c>
      <c r="B337" s="11">
        <v>5</v>
      </c>
      <c r="C337" s="11">
        <v>11.5</v>
      </c>
      <c r="D337" s="11" t="s">
        <v>31</v>
      </c>
      <c r="E337" s="10" t="s">
        <v>31</v>
      </c>
      <c r="F337" s="42">
        <v>120</v>
      </c>
      <c r="G337" s="11">
        <v>120</v>
      </c>
      <c r="H337">
        <f>IF(F337=G337,1,0)</f>
        <v>1</v>
      </c>
    </row>
    <row r="338" spans="1:8" ht="15.75" x14ac:dyDescent="0.25">
      <c r="A338" s="10" t="s">
        <v>136</v>
      </c>
      <c r="B338" s="11">
        <v>10</v>
      </c>
      <c r="C338" s="11">
        <v>23</v>
      </c>
      <c r="D338" s="11" t="s">
        <v>31</v>
      </c>
      <c r="E338" s="10" t="s">
        <v>31</v>
      </c>
      <c r="F338" s="42">
        <v>240</v>
      </c>
      <c r="G338" s="11">
        <v>240</v>
      </c>
      <c r="H338">
        <f>IF(F338=G338,1,0)</f>
        <v>1</v>
      </c>
    </row>
    <row r="339" spans="1:8" ht="15.75" x14ac:dyDescent="0.25">
      <c r="A339" s="10" t="s">
        <v>137</v>
      </c>
      <c r="B339" s="11">
        <v>1</v>
      </c>
      <c r="C339" s="11">
        <v>36.155999999999999</v>
      </c>
      <c r="D339" s="11" t="s">
        <v>31</v>
      </c>
      <c r="E339" s="10" t="s">
        <v>31</v>
      </c>
      <c r="F339" s="42">
        <v>24</v>
      </c>
      <c r="G339" s="11">
        <v>24</v>
      </c>
      <c r="H339">
        <f>IF(F339=G339,1,0)</f>
        <v>1</v>
      </c>
    </row>
    <row r="340" spans="1:8" ht="15.75" x14ac:dyDescent="0.25">
      <c r="A340" s="10" t="s">
        <v>138</v>
      </c>
      <c r="B340" s="11">
        <v>1</v>
      </c>
      <c r="C340" s="11">
        <v>2.85</v>
      </c>
      <c r="D340" s="11" t="s">
        <v>31</v>
      </c>
      <c r="E340" s="10" t="s">
        <v>31</v>
      </c>
      <c r="F340" s="42">
        <v>24</v>
      </c>
      <c r="G340" s="11">
        <v>24</v>
      </c>
      <c r="H340">
        <f>IF(F340=G340,1,0)</f>
        <v>1</v>
      </c>
    </row>
    <row r="341" spans="1:8" ht="15.75" x14ac:dyDescent="0.25">
      <c r="A341" s="10" t="s">
        <v>139</v>
      </c>
      <c r="B341" s="11">
        <v>1</v>
      </c>
      <c r="C341" s="11">
        <v>15</v>
      </c>
      <c r="D341" s="11" t="s">
        <v>31</v>
      </c>
      <c r="E341" s="10" t="s">
        <v>31</v>
      </c>
      <c r="F341" s="42">
        <v>24</v>
      </c>
      <c r="G341" s="11">
        <v>24</v>
      </c>
      <c r="H341">
        <f>IF(F341=G341,1,0)</f>
        <v>1</v>
      </c>
    </row>
    <row r="342" spans="1:8" ht="15.75" x14ac:dyDescent="0.25">
      <c r="A342" s="10" t="s">
        <v>140</v>
      </c>
      <c r="B342" s="11">
        <v>1</v>
      </c>
      <c r="C342" s="11">
        <v>15</v>
      </c>
      <c r="D342" s="11" t="s">
        <v>31</v>
      </c>
      <c r="E342" s="10" t="s">
        <v>31</v>
      </c>
      <c r="F342" s="42">
        <v>24</v>
      </c>
      <c r="G342" s="11">
        <v>24</v>
      </c>
      <c r="H342">
        <f>IF(F342=G342,1,0)</f>
        <v>1</v>
      </c>
    </row>
    <row r="343" spans="1:8" ht="15.75" x14ac:dyDescent="0.25">
      <c r="A343" s="10" t="s">
        <v>141</v>
      </c>
      <c r="B343" s="11">
        <v>1</v>
      </c>
      <c r="C343" s="11">
        <v>12.5</v>
      </c>
      <c r="D343" s="11" t="s">
        <v>31</v>
      </c>
      <c r="E343" s="10" t="s">
        <v>31</v>
      </c>
      <c r="F343" s="42">
        <v>24</v>
      </c>
      <c r="G343" s="11">
        <v>24</v>
      </c>
      <c r="H343">
        <f>IF(F343=G343,1,0)</f>
        <v>1</v>
      </c>
    </row>
    <row r="344" spans="1:8" ht="15.75" x14ac:dyDescent="0.25">
      <c r="A344" s="10" t="s">
        <v>142</v>
      </c>
      <c r="B344" s="11">
        <v>1</v>
      </c>
      <c r="C344" s="11">
        <v>10</v>
      </c>
      <c r="D344" s="11" t="s">
        <v>31</v>
      </c>
      <c r="E344" s="10" t="s">
        <v>31</v>
      </c>
      <c r="F344" s="42">
        <v>24</v>
      </c>
      <c r="G344" s="11">
        <v>24</v>
      </c>
      <c r="H344">
        <f>IF(F344=G344,1,0)</f>
        <v>1</v>
      </c>
    </row>
    <row r="345" spans="1:8" ht="15.75" x14ac:dyDescent="0.25">
      <c r="A345" s="10" t="s">
        <v>35</v>
      </c>
      <c r="B345" s="11">
        <v>1</v>
      </c>
      <c r="C345" s="11">
        <v>38</v>
      </c>
      <c r="D345" s="11" t="s">
        <v>31</v>
      </c>
      <c r="E345" s="10" t="s">
        <v>31</v>
      </c>
      <c r="F345" s="42">
        <v>24</v>
      </c>
      <c r="G345" s="11">
        <v>24</v>
      </c>
      <c r="H345">
        <f>IF(F345=G345,1,0)</f>
        <v>1</v>
      </c>
    </row>
    <row r="346" spans="1:8" ht="15.75" x14ac:dyDescent="0.25">
      <c r="A346" s="10" t="s">
        <v>35</v>
      </c>
      <c r="B346" s="11">
        <v>1</v>
      </c>
      <c r="C346" s="11">
        <v>0</v>
      </c>
      <c r="D346" s="21" t="s">
        <v>31</v>
      </c>
      <c r="E346" s="21" t="s">
        <v>31</v>
      </c>
      <c r="F346" s="42">
        <v>5</v>
      </c>
      <c r="G346" s="11">
        <v>5</v>
      </c>
      <c r="H346">
        <f>IF(F346=G346,1,0)</f>
        <v>1</v>
      </c>
    </row>
    <row r="347" spans="1:8" ht="15.75" x14ac:dyDescent="0.25">
      <c r="A347" s="10" t="s">
        <v>143</v>
      </c>
      <c r="B347" s="11">
        <v>1</v>
      </c>
      <c r="C347" s="11">
        <v>15</v>
      </c>
      <c r="D347" s="11" t="s">
        <v>31</v>
      </c>
      <c r="E347" s="10" t="s">
        <v>31</v>
      </c>
      <c r="F347" s="42">
        <v>24</v>
      </c>
      <c r="G347" s="11">
        <v>24</v>
      </c>
      <c r="H347">
        <f>IF(F347=G347,1,0)</f>
        <v>1</v>
      </c>
    </row>
    <row r="348" spans="1:8" ht="15.75" x14ac:dyDescent="0.25">
      <c r="A348" s="10" t="s">
        <v>144</v>
      </c>
      <c r="B348" s="11">
        <v>2</v>
      </c>
      <c r="C348" s="11">
        <v>20</v>
      </c>
      <c r="D348" s="11" t="s">
        <v>31</v>
      </c>
      <c r="E348" s="10" t="s">
        <v>31</v>
      </c>
      <c r="F348" s="42">
        <v>48</v>
      </c>
      <c r="G348" s="11">
        <v>48</v>
      </c>
      <c r="H348">
        <f>IF(F348=G348,1,0)</f>
        <v>1</v>
      </c>
    </row>
    <row r="349" spans="1:8" ht="15.75" x14ac:dyDescent="0.25">
      <c r="A349" s="10" t="s">
        <v>35</v>
      </c>
      <c r="B349" s="11">
        <v>1</v>
      </c>
      <c r="C349" s="11">
        <v>10.8</v>
      </c>
      <c r="D349" s="11" t="s">
        <v>31</v>
      </c>
      <c r="E349" s="10" t="s">
        <v>31</v>
      </c>
      <c r="F349" s="42">
        <v>24</v>
      </c>
      <c r="G349" s="11">
        <v>24</v>
      </c>
      <c r="H349">
        <f>IF(F349=G349,1,0)</f>
        <v>1</v>
      </c>
    </row>
    <row r="350" spans="1:8" ht="15.75" x14ac:dyDescent="0.25">
      <c r="A350" s="10" t="s">
        <v>145</v>
      </c>
      <c r="B350" s="11">
        <v>3</v>
      </c>
      <c r="C350" s="11">
        <v>30</v>
      </c>
      <c r="D350" s="11" t="s">
        <v>31</v>
      </c>
      <c r="E350" s="10" t="s">
        <v>31</v>
      </c>
      <c r="F350" s="42">
        <v>72</v>
      </c>
      <c r="G350" s="11">
        <v>72</v>
      </c>
      <c r="H350">
        <f>IF(F350=G350,1,0)</f>
        <v>1</v>
      </c>
    </row>
    <row r="351" spans="1:8" ht="15.75" x14ac:dyDescent="0.25">
      <c r="A351" s="10" t="s">
        <v>35</v>
      </c>
      <c r="B351" s="11">
        <v>1</v>
      </c>
      <c r="C351" s="11">
        <v>30</v>
      </c>
      <c r="D351" s="11" t="s">
        <v>31</v>
      </c>
      <c r="E351" s="10" t="s">
        <v>31</v>
      </c>
      <c r="F351" s="42">
        <v>24</v>
      </c>
      <c r="G351" s="11">
        <v>24</v>
      </c>
      <c r="H351">
        <f>IF(F351=G351,1,0)</f>
        <v>1</v>
      </c>
    </row>
    <row r="352" spans="1:8" ht="15.75" x14ac:dyDescent="0.25">
      <c r="A352" s="10" t="s">
        <v>139</v>
      </c>
      <c r="B352" s="11">
        <v>1</v>
      </c>
      <c r="C352" s="11">
        <v>15</v>
      </c>
      <c r="D352" s="11" t="s">
        <v>31</v>
      </c>
      <c r="E352" s="10" t="s">
        <v>31</v>
      </c>
      <c r="F352" s="42">
        <v>24</v>
      </c>
      <c r="G352" s="11">
        <v>24</v>
      </c>
      <c r="H352">
        <f>IF(F352=G352,1,0)</f>
        <v>1</v>
      </c>
    </row>
    <row r="353" spans="1:8" ht="15.75" x14ac:dyDescent="0.25">
      <c r="A353" s="10" t="s">
        <v>139</v>
      </c>
      <c r="B353" s="11">
        <v>1</v>
      </c>
      <c r="C353" s="11">
        <v>15</v>
      </c>
      <c r="D353" s="11" t="s">
        <v>31</v>
      </c>
      <c r="E353" s="10" t="s">
        <v>31</v>
      </c>
      <c r="F353" s="42">
        <v>24</v>
      </c>
      <c r="G353" s="11">
        <v>24</v>
      </c>
      <c r="H353">
        <f>IF(F353=G353,1,0)</f>
        <v>1</v>
      </c>
    </row>
    <row r="354" spans="1:8" ht="15.75" x14ac:dyDescent="0.25">
      <c r="A354" s="10" t="s">
        <v>139</v>
      </c>
      <c r="B354" s="11">
        <v>1</v>
      </c>
      <c r="C354" s="11">
        <v>15</v>
      </c>
      <c r="D354" s="11" t="s">
        <v>31</v>
      </c>
      <c r="E354" s="10" t="s">
        <v>31</v>
      </c>
      <c r="F354" s="42">
        <v>24</v>
      </c>
      <c r="G354" s="11">
        <v>24</v>
      </c>
      <c r="H354">
        <f>IF(F354=G354,1,0)</f>
        <v>1</v>
      </c>
    </row>
    <row r="355" spans="1:8" ht="15.75" x14ac:dyDescent="0.25">
      <c r="A355" s="10" t="s">
        <v>146</v>
      </c>
      <c r="B355" s="11">
        <v>1</v>
      </c>
      <c r="C355" s="11">
        <v>33</v>
      </c>
      <c r="D355" s="11" t="s">
        <v>31</v>
      </c>
      <c r="E355" s="10" t="s">
        <v>31</v>
      </c>
      <c r="F355" s="42">
        <v>24</v>
      </c>
      <c r="G355" s="11">
        <v>24</v>
      </c>
      <c r="H355">
        <f>IF(F355=G355,1,0)</f>
        <v>1</v>
      </c>
    </row>
    <row r="356" spans="1:8" ht="15.75" x14ac:dyDescent="0.25">
      <c r="A356" s="10" t="s">
        <v>146</v>
      </c>
      <c r="B356" s="11">
        <v>1</v>
      </c>
      <c r="C356" s="11">
        <v>0</v>
      </c>
      <c r="D356" s="21" t="s">
        <v>31</v>
      </c>
      <c r="E356" s="21" t="s">
        <v>31</v>
      </c>
      <c r="F356" s="42">
        <v>5</v>
      </c>
      <c r="G356" s="11">
        <v>5</v>
      </c>
      <c r="H356">
        <f>IF(F356=G356,1,0)</f>
        <v>1</v>
      </c>
    </row>
    <row r="357" spans="1:8" ht="15.75" x14ac:dyDescent="0.25">
      <c r="A357" s="10" t="s">
        <v>139</v>
      </c>
      <c r="B357" s="11">
        <v>1</v>
      </c>
      <c r="C357" s="11">
        <v>15</v>
      </c>
      <c r="D357" s="11" t="s">
        <v>31</v>
      </c>
      <c r="E357" s="10" t="s">
        <v>31</v>
      </c>
      <c r="F357" s="42">
        <v>24</v>
      </c>
      <c r="G357" s="11">
        <v>24</v>
      </c>
      <c r="H357">
        <f>IF(F357=G357,1,0)</f>
        <v>1</v>
      </c>
    </row>
    <row r="358" spans="1:8" ht="15.75" x14ac:dyDescent="0.25">
      <c r="A358" s="10" t="s">
        <v>148</v>
      </c>
      <c r="B358" s="11">
        <v>1</v>
      </c>
      <c r="C358" s="11">
        <v>10</v>
      </c>
      <c r="D358" s="11" t="s">
        <v>31</v>
      </c>
      <c r="E358" s="10" t="s">
        <v>31</v>
      </c>
      <c r="F358" s="42">
        <v>24</v>
      </c>
      <c r="G358" s="11">
        <v>24</v>
      </c>
      <c r="H358">
        <f>IF(F358=G358,1,0)</f>
        <v>1</v>
      </c>
    </row>
    <row r="359" spans="1:8" ht="15.75" x14ac:dyDescent="0.25">
      <c r="A359" s="10" t="s">
        <v>35</v>
      </c>
      <c r="B359" s="11">
        <v>3</v>
      </c>
      <c r="C359" s="11">
        <v>34</v>
      </c>
      <c r="D359" s="11" t="s">
        <v>31</v>
      </c>
      <c r="E359" s="10" t="s">
        <v>31</v>
      </c>
      <c r="F359" s="42">
        <v>72</v>
      </c>
      <c r="G359" s="11">
        <v>72</v>
      </c>
      <c r="H359">
        <f>IF(F359=G359,1,0)</f>
        <v>1</v>
      </c>
    </row>
    <row r="360" spans="1:8" ht="15.75" x14ac:dyDescent="0.25">
      <c r="A360" s="10" t="s">
        <v>151</v>
      </c>
      <c r="B360" s="11">
        <v>17</v>
      </c>
      <c r="C360" s="11">
        <v>300</v>
      </c>
      <c r="D360" s="11" t="s">
        <v>31</v>
      </c>
      <c r="E360" s="10" t="s">
        <v>31</v>
      </c>
      <c r="F360" s="42">
        <v>408</v>
      </c>
      <c r="G360" s="11">
        <v>408</v>
      </c>
      <c r="H360">
        <f>IF(F360=G360,1,0)</f>
        <v>1</v>
      </c>
    </row>
    <row r="361" spans="1:8" ht="15.75" x14ac:dyDescent="0.25">
      <c r="A361" s="10" t="s">
        <v>35</v>
      </c>
      <c r="B361" s="11">
        <v>4</v>
      </c>
      <c r="C361" s="11">
        <v>71.5</v>
      </c>
      <c r="D361" s="11" t="s">
        <v>31</v>
      </c>
      <c r="E361" s="10" t="s">
        <v>31</v>
      </c>
      <c r="F361" s="42">
        <v>96</v>
      </c>
      <c r="G361" s="11">
        <v>96</v>
      </c>
      <c r="H361">
        <f>IF(F361=G361,1,0)</f>
        <v>1</v>
      </c>
    </row>
    <row r="362" spans="1:8" ht="15.75" x14ac:dyDescent="0.25">
      <c r="A362" s="10" t="s">
        <v>153</v>
      </c>
      <c r="B362" s="11">
        <v>1</v>
      </c>
      <c r="C362" s="11">
        <v>16.234999999999999</v>
      </c>
      <c r="D362" s="11" t="s">
        <v>31</v>
      </c>
      <c r="E362" s="10" t="s">
        <v>31</v>
      </c>
      <c r="F362" s="42">
        <v>24</v>
      </c>
      <c r="G362" s="11">
        <v>24</v>
      </c>
      <c r="H362">
        <f>IF(F362=G362,1,0)</f>
        <v>1</v>
      </c>
    </row>
    <row r="363" spans="1:8" ht="15.75" x14ac:dyDescent="0.25">
      <c r="A363" s="10" t="s">
        <v>154</v>
      </c>
      <c r="B363" s="11">
        <v>7</v>
      </c>
      <c r="C363" s="11">
        <v>25.527999999999999</v>
      </c>
      <c r="D363" s="21" t="s">
        <v>31</v>
      </c>
      <c r="E363" s="21" t="s">
        <v>31</v>
      </c>
      <c r="F363" s="42">
        <v>35</v>
      </c>
      <c r="G363" s="11">
        <v>35</v>
      </c>
      <c r="H363">
        <f>IF(F363=G363,1,0)</f>
        <v>1</v>
      </c>
    </row>
    <row r="364" spans="1:8" ht="15.75" x14ac:dyDescent="0.25">
      <c r="A364" s="10" t="s">
        <v>156</v>
      </c>
      <c r="B364" s="11">
        <v>3</v>
      </c>
      <c r="C364" s="11">
        <v>6.38</v>
      </c>
      <c r="D364" s="11" t="s">
        <v>31</v>
      </c>
      <c r="E364" s="10" t="s">
        <v>31</v>
      </c>
      <c r="F364" s="42">
        <v>72</v>
      </c>
      <c r="G364" s="11">
        <v>72</v>
      </c>
      <c r="H364">
        <f>IF(F364=G364,1,0)</f>
        <v>1</v>
      </c>
    </row>
    <row r="365" spans="1:8" ht="15.75" x14ac:dyDescent="0.25">
      <c r="A365" s="10" t="s">
        <v>157</v>
      </c>
      <c r="B365" s="11">
        <v>1</v>
      </c>
      <c r="C365" s="11">
        <v>2.04</v>
      </c>
      <c r="D365" s="11" t="s">
        <v>31</v>
      </c>
      <c r="E365" s="10" t="s">
        <v>31</v>
      </c>
      <c r="F365" s="42">
        <v>24</v>
      </c>
      <c r="G365" s="11">
        <v>24</v>
      </c>
      <c r="H365">
        <f>IF(F365=G365,1,0)</f>
        <v>1</v>
      </c>
    </row>
    <row r="366" spans="1:8" ht="15.75" x14ac:dyDescent="0.25">
      <c r="A366" s="10" t="s">
        <v>158</v>
      </c>
      <c r="B366" s="11">
        <v>1</v>
      </c>
      <c r="C366" s="11">
        <v>2.3149999999999999</v>
      </c>
      <c r="D366" s="11" t="s">
        <v>31</v>
      </c>
      <c r="E366" s="10" t="s">
        <v>31</v>
      </c>
      <c r="F366" s="42">
        <v>24</v>
      </c>
      <c r="G366" s="11">
        <v>24</v>
      </c>
      <c r="H366">
        <f>IF(F366=G366,1,0)</f>
        <v>1</v>
      </c>
    </row>
    <row r="367" spans="1:8" ht="15.75" x14ac:dyDescent="0.25">
      <c r="A367" s="10" t="s">
        <v>159</v>
      </c>
      <c r="B367" s="11">
        <v>1</v>
      </c>
      <c r="C367" s="11">
        <v>2.4</v>
      </c>
      <c r="D367" s="11" t="s">
        <v>31</v>
      </c>
      <c r="E367" s="10" t="s">
        <v>31</v>
      </c>
      <c r="F367" s="42">
        <v>24</v>
      </c>
      <c r="G367" s="11">
        <v>24</v>
      </c>
      <c r="H367">
        <f>IF(F367=G367,1,0)</f>
        <v>1</v>
      </c>
    </row>
    <row r="368" spans="1:8" ht="15.75" x14ac:dyDescent="0.25">
      <c r="A368" s="10" t="s">
        <v>160</v>
      </c>
      <c r="B368" s="11">
        <v>2</v>
      </c>
      <c r="C368" s="11">
        <v>10.9</v>
      </c>
      <c r="D368" s="11" t="s">
        <v>31</v>
      </c>
      <c r="E368" s="10" t="s">
        <v>31</v>
      </c>
      <c r="F368" s="42">
        <v>48</v>
      </c>
      <c r="G368" s="11">
        <v>48</v>
      </c>
      <c r="H368">
        <f>IF(F368=G368,1,0)</f>
        <v>1</v>
      </c>
    </row>
    <row r="369" spans="1:8" ht="15.75" x14ac:dyDescent="0.25">
      <c r="A369" s="10" t="s">
        <v>161</v>
      </c>
      <c r="B369" s="11">
        <v>1</v>
      </c>
      <c r="C369" s="11">
        <v>2.1399999999999997</v>
      </c>
      <c r="D369" s="11" t="s">
        <v>31</v>
      </c>
      <c r="E369" s="10" t="s">
        <v>31</v>
      </c>
      <c r="F369" s="42">
        <v>24</v>
      </c>
      <c r="G369" s="11">
        <v>24</v>
      </c>
      <c r="H369">
        <f>IF(F369=G369,1,0)</f>
        <v>1</v>
      </c>
    </row>
    <row r="370" spans="1:8" ht="15.75" x14ac:dyDescent="0.25">
      <c r="A370" s="10" t="s">
        <v>162</v>
      </c>
      <c r="B370" s="11">
        <v>3</v>
      </c>
      <c r="C370" s="11">
        <v>6.93</v>
      </c>
      <c r="D370" s="11" t="s">
        <v>31</v>
      </c>
      <c r="E370" s="10" t="s">
        <v>31</v>
      </c>
      <c r="F370" s="42">
        <v>72</v>
      </c>
      <c r="G370" s="11">
        <v>72</v>
      </c>
      <c r="H370">
        <f>IF(F370=G370,1,0)</f>
        <v>1</v>
      </c>
    </row>
    <row r="371" spans="1:8" ht="15.75" x14ac:dyDescent="0.25">
      <c r="A371" s="10" t="s">
        <v>163</v>
      </c>
      <c r="B371" s="11">
        <v>3</v>
      </c>
      <c r="C371" s="11">
        <v>6.42</v>
      </c>
      <c r="D371" s="11" t="s">
        <v>31</v>
      </c>
      <c r="E371" s="10" t="s">
        <v>31</v>
      </c>
      <c r="F371" s="42">
        <v>72</v>
      </c>
      <c r="G371" s="11">
        <v>72</v>
      </c>
      <c r="H371">
        <f>IF(F371=G371,1,0)</f>
        <v>1</v>
      </c>
    </row>
    <row r="372" spans="1:8" ht="15.75" x14ac:dyDescent="0.25">
      <c r="A372" s="10" t="s">
        <v>132</v>
      </c>
      <c r="B372" s="11">
        <v>1</v>
      </c>
      <c r="C372" s="11">
        <v>2.1399999999999997</v>
      </c>
      <c r="D372" s="11" t="s">
        <v>31</v>
      </c>
      <c r="E372" s="10" t="s">
        <v>31</v>
      </c>
      <c r="F372" s="42">
        <v>24</v>
      </c>
      <c r="G372" s="11">
        <v>24</v>
      </c>
      <c r="H372">
        <f>IF(F372=G372,1,0)</f>
        <v>1</v>
      </c>
    </row>
    <row r="373" spans="1:8" ht="15.75" x14ac:dyDescent="0.25">
      <c r="A373" s="10" t="s">
        <v>164</v>
      </c>
      <c r="B373" s="11">
        <v>1</v>
      </c>
      <c r="C373" s="11">
        <v>2.1399999999999997</v>
      </c>
      <c r="D373" s="11" t="s">
        <v>31</v>
      </c>
      <c r="E373" s="10" t="s">
        <v>31</v>
      </c>
      <c r="F373" s="42">
        <v>24</v>
      </c>
      <c r="G373" s="11">
        <v>24</v>
      </c>
      <c r="H373">
        <f>IF(F373=G373,1,0)</f>
        <v>1</v>
      </c>
    </row>
    <row r="374" spans="1:8" ht="15.75" x14ac:dyDescent="0.25">
      <c r="A374" s="10" t="s">
        <v>165</v>
      </c>
      <c r="B374" s="11">
        <v>1</v>
      </c>
      <c r="C374" s="11">
        <v>2.1399999999999997</v>
      </c>
      <c r="D374" s="11" t="s">
        <v>31</v>
      </c>
      <c r="E374" s="10" t="s">
        <v>31</v>
      </c>
      <c r="F374" s="42">
        <v>24</v>
      </c>
      <c r="G374" s="11">
        <v>24</v>
      </c>
      <c r="H374">
        <f>IF(F374=G374,1,0)</f>
        <v>1</v>
      </c>
    </row>
    <row r="375" spans="1:8" ht="15.75" x14ac:dyDescent="0.25">
      <c r="A375" s="10" t="s">
        <v>166</v>
      </c>
      <c r="B375" s="11">
        <v>2</v>
      </c>
      <c r="C375" s="11">
        <v>15.7</v>
      </c>
      <c r="D375" s="11" t="s">
        <v>31</v>
      </c>
      <c r="E375" s="10" t="s">
        <v>31</v>
      </c>
      <c r="F375" s="42">
        <v>48</v>
      </c>
      <c r="G375" s="11">
        <v>48</v>
      </c>
      <c r="H375">
        <f>IF(F375=G375,1,0)</f>
        <v>1</v>
      </c>
    </row>
    <row r="376" spans="1:8" ht="15.75" x14ac:dyDescent="0.25">
      <c r="A376" s="10" t="s">
        <v>166</v>
      </c>
      <c r="B376" s="11">
        <v>2</v>
      </c>
      <c r="C376" s="11">
        <v>15.7</v>
      </c>
      <c r="D376" s="11" t="s">
        <v>31</v>
      </c>
      <c r="E376" s="10" t="s">
        <v>31</v>
      </c>
      <c r="F376" s="42">
        <v>48</v>
      </c>
      <c r="G376" s="11">
        <v>48</v>
      </c>
      <c r="H376">
        <f>IF(F376=G376,1,0)</f>
        <v>1</v>
      </c>
    </row>
    <row r="377" spans="1:8" ht="15.75" x14ac:dyDescent="0.25">
      <c r="A377" s="10" t="s">
        <v>139</v>
      </c>
      <c r="B377" s="11">
        <v>1</v>
      </c>
      <c r="C377" s="11">
        <v>16</v>
      </c>
      <c r="D377" s="11" t="s">
        <v>31</v>
      </c>
      <c r="E377" s="10" t="s">
        <v>31</v>
      </c>
      <c r="F377" s="42">
        <v>24</v>
      </c>
      <c r="G377" s="11">
        <v>24</v>
      </c>
      <c r="H377">
        <f>IF(F377=G377,1,0)</f>
        <v>1</v>
      </c>
    </row>
    <row r="378" spans="1:8" ht="15.75" x14ac:dyDescent="0.25">
      <c r="A378" s="10" t="s">
        <v>139</v>
      </c>
      <c r="B378" s="11">
        <v>1</v>
      </c>
      <c r="C378" s="11">
        <v>16</v>
      </c>
      <c r="D378" s="11" t="s">
        <v>31</v>
      </c>
      <c r="E378" s="10" t="s">
        <v>31</v>
      </c>
      <c r="F378" s="42">
        <v>24</v>
      </c>
      <c r="G378" s="11">
        <v>24</v>
      </c>
      <c r="H378">
        <f>IF(F378=G378,1,0)</f>
        <v>1</v>
      </c>
    </row>
    <row r="379" spans="1:8" ht="15.75" x14ac:dyDescent="0.25">
      <c r="A379" s="10" t="s">
        <v>167</v>
      </c>
      <c r="B379" s="11">
        <v>1</v>
      </c>
      <c r="C379" s="11">
        <v>7.5</v>
      </c>
      <c r="D379" s="11" t="s">
        <v>31</v>
      </c>
      <c r="E379" s="10" t="s">
        <v>31</v>
      </c>
      <c r="F379" s="42">
        <v>24</v>
      </c>
      <c r="G379" s="11">
        <v>24</v>
      </c>
      <c r="H379">
        <f>IF(F379=G379,1,0)</f>
        <v>1</v>
      </c>
    </row>
    <row r="380" spans="1:8" ht="15.75" x14ac:dyDescent="0.25">
      <c r="A380" s="10" t="s">
        <v>167</v>
      </c>
      <c r="B380" s="11">
        <v>1</v>
      </c>
      <c r="C380" s="11">
        <v>7.5</v>
      </c>
      <c r="D380" s="11" t="s">
        <v>31</v>
      </c>
      <c r="E380" s="10" t="s">
        <v>31</v>
      </c>
      <c r="F380" s="42">
        <v>24</v>
      </c>
      <c r="G380" s="11">
        <v>24</v>
      </c>
      <c r="H380">
        <f>IF(F380=G380,1,0)</f>
        <v>1</v>
      </c>
    </row>
    <row r="381" spans="1:8" ht="15.75" x14ac:dyDescent="0.25">
      <c r="A381" s="10" t="s">
        <v>167</v>
      </c>
      <c r="B381" s="11">
        <v>1</v>
      </c>
      <c r="C381" s="11">
        <v>7.5</v>
      </c>
      <c r="D381" s="11" t="s">
        <v>31</v>
      </c>
      <c r="E381" s="10" t="s">
        <v>31</v>
      </c>
      <c r="F381" s="42">
        <v>24</v>
      </c>
      <c r="G381" s="11">
        <v>24</v>
      </c>
      <c r="H381">
        <f>IF(F381=G381,1,0)</f>
        <v>1</v>
      </c>
    </row>
    <row r="382" spans="1:8" ht="15.75" x14ac:dyDescent="0.25">
      <c r="A382" s="10" t="s">
        <v>168</v>
      </c>
      <c r="B382" s="11">
        <v>1</v>
      </c>
      <c r="C382" s="11">
        <v>3.3</v>
      </c>
      <c r="D382" s="11" t="s">
        <v>31</v>
      </c>
      <c r="E382" s="10" t="s">
        <v>31</v>
      </c>
      <c r="F382" s="42">
        <v>24</v>
      </c>
      <c r="G382" s="11">
        <v>24</v>
      </c>
      <c r="H382">
        <f>IF(F382=G382,1,0)</f>
        <v>1</v>
      </c>
    </row>
    <row r="383" spans="1:8" ht="15.75" x14ac:dyDescent="0.25">
      <c r="A383" s="10" t="s">
        <v>170</v>
      </c>
      <c r="B383" s="11">
        <v>1</v>
      </c>
      <c r="C383" s="11">
        <v>5.4</v>
      </c>
      <c r="D383" s="11" t="s">
        <v>31</v>
      </c>
      <c r="E383" s="10" t="s">
        <v>31</v>
      </c>
      <c r="F383" s="42">
        <v>24</v>
      </c>
      <c r="G383" s="11">
        <v>24</v>
      </c>
      <c r="H383">
        <f>IF(F383=G383,1,0)</f>
        <v>1</v>
      </c>
    </row>
    <row r="384" spans="1:8" ht="15.75" x14ac:dyDescent="0.25">
      <c r="A384" s="10" t="s">
        <v>171</v>
      </c>
      <c r="B384" s="11">
        <v>1</v>
      </c>
      <c r="C384" s="11">
        <v>9</v>
      </c>
      <c r="D384" s="11" t="s">
        <v>31</v>
      </c>
      <c r="E384" s="10" t="s">
        <v>31</v>
      </c>
      <c r="F384" s="42">
        <v>24</v>
      </c>
      <c r="G384" s="11">
        <v>24</v>
      </c>
      <c r="H384">
        <f>IF(F384=G384,1,0)</f>
        <v>1</v>
      </c>
    </row>
    <row r="385" spans="1:8" ht="15.75" x14ac:dyDescent="0.25">
      <c r="A385" s="10" t="s">
        <v>172</v>
      </c>
      <c r="B385" s="11">
        <v>2</v>
      </c>
      <c r="C385" s="11">
        <v>24.06</v>
      </c>
      <c r="D385" s="11" t="s">
        <v>31</v>
      </c>
      <c r="E385" s="10" t="s">
        <v>31</v>
      </c>
      <c r="F385" s="42">
        <v>48</v>
      </c>
      <c r="G385" s="11">
        <v>48</v>
      </c>
      <c r="H385">
        <f>IF(F385=G385,1,0)</f>
        <v>1</v>
      </c>
    </row>
    <row r="386" spans="1:8" ht="15.75" x14ac:dyDescent="0.25">
      <c r="A386" s="10" t="s">
        <v>173</v>
      </c>
      <c r="B386" s="11">
        <v>1</v>
      </c>
      <c r="C386" s="11">
        <v>7.2</v>
      </c>
      <c r="D386" s="11" t="s">
        <v>31</v>
      </c>
      <c r="E386" s="10" t="s">
        <v>31</v>
      </c>
      <c r="F386" s="42">
        <v>24</v>
      </c>
      <c r="G386" s="11">
        <v>24</v>
      </c>
      <c r="H386">
        <f>IF(F386=G386,1,0)</f>
        <v>1</v>
      </c>
    </row>
    <row r="387" spans="1:8" ht="15.75" x14ac:dyDescent="0.25">
      <c r="A387" s="10" t="s">
        <v>174</v>
      </c>
      <c r="B387" s="11">
        <v>24</v>
      </c>
      <c r="C387" s="11">
        <v>92</v>
      </c>
      <c r="D387" s="11" t="s">
        <v>31</v>
      </c>
      <c r="E387" s="10" t="s">
        <v>31</v>
      </c>
      <c r="F387" s="42">
        <v>576</v>
      </c>
      <c r="G387" s="11">
        <v>576</v>
      </c>
      <c r="H387">
        <f>IF(F387=G387,1,0)</f>
        <v>1</v>
      </c>
    </row>
    <row r="388" spans="1:8" ht="15.75" x14ac:dyDescent="0.25">
      <c r="A388" s="10" t="s">
        <v>175</v>
      </c>
      <c r="B388" s="11">
        <v>1</v>
      </c>
      <c r="C388" s="11">
        <v>16</v>
      </c>
      <c r="D388" s="11" t="s">
        <v>31</v>
      </c>
      <c r="E388" s="10" t="s">
        <v>31</v>
      </c>
      <c r="F388" s="42">
        <v>24</v>
      </c>
      <c r="G388" s="11">
        <v>24</v>
      </c>
      <c r="H388">
        <f>IF(F388=G388,1,0)</f>
        <v>1</v>
      </c>
    </row>
    <row r="389" spans="1:8" ht="15.75" x14ac:dyDescent="0.25">
      <c r="A389" s="10" t="s">
        <v>176</v>
      </c>
      <c r="B389" s="11">
        <v>5</v>
      </c>
      <c r="C389" s="11">
        <v>60.86</v>
      </c>
      <c r="D389" s="11" t="s">
        <v>31</v>
      </c>
      <c r="E389" s="10" t="s">
        <v>31</v>
      </c>
      <c r="F389" s="42">
        <v>120</v>
      </c>
      <c r="G389" s="11">
        <v>120</v>
      </c>
      <c r="H389">
        <f>IF(F389=G389,1,0)</f>
        <v>1</v>
      </c>
    </row>
    <row r="390" spans="1:8" ht="15.75" x14ac:dyDescent="0.25">
      <c r="A390" s="10" t="s">
        <v>177</v>
      </c>
      <c r="B390" s="11">
        <v>1</v>
      </c>
      <c r="C390" s="11">
        <v>12.33</v>
      </c>
      <c r="D390" s="11" t="s">
        <v>31</v>
      </c>
      <c r="E390" s="10" t="s">
        <v>31</v>
      </c>
      <c r="F390" s="42">
        <v>24</v>
      </c>
      <c r="G390" s="11">
        <v>24</v>
      </c>
      <c r="H390">
        <f>IF(F390=G390,1,0)</f>
        <v>1</v>
      </c>
    </row>
    <row r="391" spans="1:8" ht="15.75" x14ac:dyDescent="0.25">
      <c r="A391" s="10" t="s">
        <v>178</v>
      </c>
      <c r="B391" s="11">
        <v>1</v>
      </c>
      <c r="C391" s="11">
        <v>14.059999999999999</v>
      </c>
      <c r="D391" s="11" t="s">
        <v>31</v>
      </c>
      <c r="E391" s="10" t="s">
        <v>31</v>
      </c>
      <c r="F391" s="42">
        <v>24</v>
      </c>
      <c r="G391" s="11">
        <v>24</v>
      </c>
      <c r="H391">
        <f>IF(F391=G391,1,0)</f>
        <v>1</v>
      </c>
    </row>
    <row r="392" spans="1:8" ht="15.75" x14ac:dyDescent="0.25">
      <c r="A392" s="10" t="s">
        <v>179</v>
      </c>
      <c r="B392" s="11">
        <v>1</v>
      </c>
      <c r="C392" s="11">
        <v>9.5</v>
      </c>
      <c r="D392" s="11" t="s">
        <v>31</v>
      </c>
      <c r="E392" s="10" t="s">
        <v>31</v>
      </c>
      <c r="F392" s="42">
        <v>24</v>
      </c>
      <c r="G392" s="11">
        <v>24</v>
      </c>
      <c r="H392">
        <f>IF(F392=G392,1,0)</f>
        <v>1</v>
      </c>
    </row>
    <row r="393" spans="1:8" ht="15.75" x14ac:dyDescent="0.25">
      <c r="A393" s="10" t="s">
        <v>180</v>
      </c>
      <c r="B393" s="11">
        <v>1</v>
      </c>
      <c r="C393" s="11">
        <v>14.180000000000001</v>
      </c>
      <c r="D393" s="11" t="s">
        <v>31</v>
      </c>
      <c r="E393" s="10" t="s">
        <v>31</v>
      </c>
      <c r="F393" s="42">
        <v>24</v>
      </c>
      <c r="G393" s="11">
        <v>24</v>
      </c>
      <c r="H393">
        <f>IF(F393=G393,1,0)</f>
        <v>1</v>
      </c>
    </row>
    <row r="394" spans="1:8" ht="15.75" x14ac:dyDescent="0.25">
      <c r="A394" s="10" t="s">
        <v>180</v>
      </c>
      <c r="B394" s="11">
        <v>1</v>
      </c>
      <c r="C394" s="11">
        <v>14.319999999999999</v>
      </c>
      <c r="D394" s="11" t="s">
        <v>31</v>
      </c>
      <c r="E394" s="10" t="s">
        <v>31</v>
      </c>
      <c r="F394" s="42">
        <v>24</v>
      </c>
      <c r="G394" s="11">
        <v>24</v>
      </c>
      <c r="H394">
        <f>IF(F394=G394,1,0)</f>
        <v>1</v>
      </c>
    </row>
    <row r="395" spans="1:8" ht="15.75" x14ac:dyDescent="0.25">
      <c r="A395" s="10" t="s">
        <v>180</v>
      </c>
      <c r="B395" s="11">
        <v>1</v>
      </c>
      <c r="C395" s="11">
        <v>14.319999999999999</v>
      </c>
      <c r="D395" s="11" t="s">
        <v>31</v>
      </c>
      <c r="E395" s="10" t="s">
        <v>31</v>
      </c>
      <c r="F395" s="42">
        <v>24</v>
      </c>
      <c r="G395" s="11">
        <v>24</v>
      </c>
      <c r="H395">
        <f>IF(F395=G395,1,0)</f>
        <v>1</v>
      </c>
    </row>
    <row r="396" spans="1:8" ht="15.75" x14ac:dyDescent="0.25">
      <c r="A396" s="10" t="s">
        <v>181</v>
      </c>
      <c r="B396" s="11">
        <v>2</v>
      </c>
      <c r="C396" s="11">
        <v>10.379999999999999</v>
      </c>
      <c r="D396" s="11" t="s">
        <v>31</v>
      </c>
      <c r="E396" s="10" t="s">
        <v>31</v>
      </c>
      <c r="F396" s="42">
        <v>48</v>
      </c>
      <c r="G396" s="11">
        <v>48</v>
      </c>
      <c r="H396">
        <f>IF(F396=G396,1,0)</f>
        <v>1</v>
      </c>
    </row>
    <row r="397" spans="1:8" ht="15.75" x14ac:dyDescent="0.25">
      <c r="A397" s="10" t="s">
        <v>182</v>
      </c>
      <c r="B397" s="11">
        <v>2</v>
      </c>
      <c r="C397" s="11">
        <v>12.379999999999999</v>
      </c>
      <c r="D397" s="11" t="s">
        <v>31</v>
      </c>
      <c r="E397" s="10" t="s">
        <v>31</v>
      </c>
      <c r="F397" s="42">
        <v>48</v>
      </c>
      <c r="G397" s="11">
        <v>48</v>
      </c>
      <c r="H397">
        <f>IF(F397=G397,1,0)</f>
        <v>1</v>
      </c>
    </row>
    <row r="398" spans="1:8" ht="15.75" x14ac:dyDescent="0.25">
      <c r="A398" s="10" t="s">
        <v>183</v>
      </c>
      <c r="B398" s="11">
        <v>3</v>
      </c>
      <c r="C398" s="11">
        <v>27.880000000000003</v>
      </c>
      <c r="D398" s="11" t="s">
        <v>31</v>
      </c>
      <c r="E398" s="10" t="s">
        <v>31</v>
      </c>
      <c r="F398" s="42">
        <v>72</v>
      </c>
      <c r="G398" s="11">
        <v>72</v>
      </c>
      <c r="H398">
        <f>IF(F398=G398,1,0)</f>
        <v>1</v>
      </c>
    </row>
    <row r="399" spans="1:8" ht="15.75" x14ac:dyDescent="0.25">
      <c r="A399" s="10" t="s">
        <v>184</v>
      </c>
      <c r="B399" s="11">
        <v>1</v>
      </c>
      <c r="C399" s="11">
        <v>12.33</v>
      </c>
      <c r="D399" s="11" t="s">
        <v>31</v>
      </c>
      <c r="E399" s="10" t="s">
        <v>31</v>
      </c>
      <c r="F399" s="42">
        <v>24</v>
      </c>
      <c r="G399" s="11">
        <v>24</v>
      </c>
      <c r="H399">
        <f>IF(F399=G399,1,0)</f>
        <v>1</v>
      </c>
    </row>
    <row r="400" spans="1:8" ht="15.75" x14ac:dyDescent="0.25">
      <c r="A400" s="10" t="s">
        <v>185</v>
      </c>
      <c r="B400" s="11">
        <v>1</v>
      </c>
      <c r="C400" s="11">
        <v>12.33</v>
      </c>
      <c r="D400" s="11" t="s">
        <v>31</v>
      </c>
      <c r="E400" s="10" t="s">
        <v>31</v>
      </c>
      <c r="F400" s="42">
        <v>24</v>
      </c>
      <c r="G400" s="11">
        <v>24</v>
      </c>
      <c r="H400">
        <f>IF(F400=G400,1,0)</f>
        <v>1</v>
      </c>
    </row>
    <row r="401" spans="1:8" ht="15.75" x14ac:dyDescent="0.25">
      <c r="A401" s="10" t="s">
        <v>186</v>
      </c>
      <c r="B401" s="11">
        <v>1</v>
      </c>
      <c r="C401" s="11">
        <v>9</v>
      </c>
      <c r="D401" s="11" t="s">
        <v>31</v>
      </c>
      <c r="E401" s="10" t="s">
        <v>31</v>
      </c>
      <c r="F401" s="42">
        <v>24</v>
      </c>
      <c r="G401" s="11">
        <v>24</v>
      </c>
      <c r="H401">
        <f>IF(F401=G401,1,0)</f>
        <v>1</v>
      </c>
    </row>
    <row r="402" spans="1:8" ht="15.75" x14ac:dyDescent="0.25">
      <c r="A402" s="10" t="s">
        <v>187</v>
      </c>
      <c r="B402" s="11">
        <v>2</v>
      </c>
      <c r="C402" s="11">
        <v>1.083</v>
      </c>
      <c r="D402" s="21" t="s">
        <v>31</v>
      </c>
      <c r="E402" s="21" t="s">
        <v>31</v>
      </c>
      <c r="F402" s="42">
        <v>10</v>
      </c>
      <c r="G402" s="11">
        <v>10</v>
      </c>
      <c r="H402">
        <f>IF(F402=G402,1,0)</f>
        <v>1</v>
      </c>
    </row>
    <row r="403" spans="1:8" ht="15.75" x14ac:dyDescent="0.25">
      <c r="A403" s="10" t="s">
        <v>188</v>
      </c>
      <c r="B403" s="11">
        <v>2</v>
      </c>
      <c r="C403" s="11">
        <v>39</v>
      </c>
      <c r="D403" s="11" t="s">
        <v>31</v>
      </c>
      <c r="E403" s="10" t="s">
        <v>31</v>
      </c>
      <c r="F403" s="42">
        <v>48</v>
      </c>
      <c r="G403" s="11">
        <v>48</v>
      </c>
      <c r="H403">
        <f>IF(F403=G403,1,0)</f>
        <v>1</v>
      </c>
    </row>
    <row r="404" spans="1:8" ht="15.75" x14ac:dyDescent="0.25">
      <c r="A404" s="10" t="s">
        <v>189</v>
      </c>
      <c r="B404" s="11">
        <v>1</v>
      </c>
      <c r="C404" s="11">
        <v>7.94</v>
      </c>
      <c r="D404" s="11" t="s">
        <v>31</v>
      </c>
      <c r="E404" s="10" t="s">
        <v>31</v>
      </c>
      <c r="F404" s="42">
        <v>24</v>
      </c>
      <c r="G404" s="11">
        <v>24</v>
      </c>
      <c r="H404">
        <f>IF(F404=G404,1,0)</f>
        <v>1</v>
      </c>
    </row>
    <row r="405" spans="1:8" ht="15.75" x14ac:dyDescent="0.25">
      <c r="A405" s="24" t="s">
        <v>193</v>
      </c>
      <c r="B405" s="25">
        <v>1</v>
      </c>
      <c r="C405" s="25">
        <v>7.42</v>
      </c>
      <c r="D405" s="24" t="s">
        <v>31</v>
      </c>
      <c r="E405" s="24" t="s">
        <v>31</v>
      </c>
      <c r="F405" s="39">
        <v>24</v>
      </c>
      <c r="G405" s="25">
        <v>24</v>
      </c>
      <c r="H405">
        <f>IF(F405=G405,1,0)</f>
        <v>1</v>
      </c>
    </row>
    <row r="406" spans="1:8" ht="15.75" x14ac:dyDescent="0.25">
      <c r="A406" s="24" t="s">
        <v>196</v>
      </c>
      <c r="B406" s="25">
        <v>1</v>
      </c>
      <c r="C406" s="25">
        <v>9.1199999999999992</v>
      </c>
      <c r="D406" s="24" t="s">
        <v>31</v>
      </c>
      <c r="E406" s="24" t="s">
        <v>31</v>
      </c>
      <c r="F406" s="39">
        <v>24</v>
      </c>
      <c r="G406" s="25">
        <v>24</v>
      </c>
      <c r="H406">
        <f>IF(F406=G406,1,0)</f>
        <v>1</v>
      </c>
    </row>
    <row r="407" spans="1:8" ht="15.75" x14ac:dyDescent="0.25">
      <c r="A407" s="24" t="s">
        <v>199</v>
      </c>
      <c r="B407" s="25">
        <v>1</v>
      </c>
      <c r="C407" s="25">
        <v>8.6</v>
      </c>
      <c r="D407" s="24" t="s">
        <v>31</v>
      </c>
      <c r="E407" s="24" t="s">
        <v>31</v>
      </c>
      <c r="F407" s="39">
        <v>24</v>
      </c>
      <c r="G407" s="25">
        <v>24</v>
      </c>
      <c r="H407">
        <f>IF(F407=G407,1,0)</f>
        <v>1</v>
      </c>
    </row>
    <row r="408" spans="1:8" ht="15.75" x14ac:dyDescent="0.25">
      <c r="A408" s="24" t="s">
        <v>202</v>
      </c>
      <c r="B408" s="25">
        <v>2</v>
      </c>
      <c r="C408" s="25">
        <v>27.25</v>
      </c>
      <c r="D408" s="24" t="s">
        <v>31</v>
      </c>
      <c r="E408" s="24" t="s">
        <v>31</v>
      </c>
      <c r="F408" s="39">
        <v>48</v>
      </c>
      <c r="G408" s="25">
        <v>48</v>
      </c>
      <c r="H408">
        <f>IF(F408=G408,1,0)</f>
        <v>1</v>
      </c>
    </row>
    <row r="409" spans="1:8" ht="15.75" x14ac:dyDescent="0.25">
      <c r="A409" s="24" t="s">
        <v>205</v>
      </c>
      <c r="B409" s="25">
        <v>1</v>
      </c>
      <c r="C409" s="25">
        <v>4.2</v>
      </c>
      <c r="D409" s="24" t="s">
        <v>31</v>
      </c>
      <c r="E409" s="24" t="s">
        <v>31</v>
      </c>
      <c r="F409" s="39">
        <v>24</v>
      </c>
      <c r="G409" s="25">
        <v>24</v>
      </c>
      <c r="H409">
        <f>IF(F409=G409,1,0)</f>
        <v>1</v>
      </c>
    </row>
    <row r="410" spans="1:8" ht="15.75" x14ac:dyDescent="0.25">
      <c r="A410" s="24" t="s">
        <v>208</v>
      </c>
      <c r="B410" s="25">
        <v>2</v>
      </c>
      <c r="C410" s="25">
        <v>34</v>
      </c>
      <c r="D410" s="24" t="s">
        <v>31</v>
      </c>
      <c r="E410" s="24" t="s">
        <v>31</v>
      </c>
      <c r="F410" s="39">
        <v>48</v>
      </c>
      <c r="G410" s="25">
        <v>48</v>
      </c>
      <c r="H410">
        <f>IF(F410=G410,1,0)</f>
        <v>1</v>
      </c>
    </row>
    <row r="411" spans="1:8" ht="15.75" x14ac:dyDescent="0.25">
      <c r="A411" s="24" t="s">
        <v>208</v>
      </c>
      <c r="B411" s="25">
        <v>2</v>
      </c>
      <c r="C411" s="25">
        <v>34</v>
      </c>
      <c r="D411" s="24" t="s">
        <v>31</v>
      </c>
      <c r="E411" s="24" t="s">
        <v>31</v>
      </c>
      <c r="F411" s="39">
        <v>48</v>
      </c>
      <c r="G411" s="25">
        <v>48</v>
      </c>
      <c r="H411">
        <f>IF(F411=G411,1,0)</f>
        <v>1</v>
      </c>
    </row>
    <row r="412" spans="1:8" ht="15.75" x14ac:dyDescent="0.25">
      <c r="A412" s="24" t="s">
        <v>213</v>
      </c>
      <c r="B412" s="25">
        <v>1</v>
      </c>
      <c r="C412" s="25">
        <v>15</v>
      </c>
      <c r="D412" s="24" t="s">
        <v>31</v>
      </c>
      <c r="E412" s="24" t="s">
        <v>31</v>
      </c>
      <c r="F412" s="39">
        <v>24</v>
      </c>
      <c r="G412" s="25">
        <v>24</v>
      </c>
      <c r="H412">
        <f>IF(F412=G412,1,0)</f>
        <v>1</v>
      </c>
    </row>
    <row r="413" spans="1:8" ht="15.75" x14ac:dyDescent="0.25">
      <c r="A413" s="24" t="s">
        <v>139</v>
      </c>
      <c r="B413" s="25">
        <v>1</v>
      </c>
      <c r="C413" s="25">
        <v>12.67</v>
      </c>
      <c r="D413" s="24" t="s">
        <v>31</v>
      </c>
      <c r="E413" s="24" t="s">
        <v>31</v>
      </c>
      <c r="F413" s="39">
        <v>24</v>
      </c>
      <c r="G413" s="25">
        <v>24</v>
      </c>
      <c r="H413">
        <f>IF(F413=G413,1,0)</f>
        <v>1</v>
      </c>
    </row>
    <row r="414" spans="1:8" ht="15.75" x14ac:dyDescent="0.25">
      <c r="A414" s="24" t="s">
        <v>218</v>
      </c>
      <c r="B414" s="25">
        <v>1</v>
      </c>
      <c r="C414" s="25">
        <v>12.67</v>
      </c>
      <c r="D414" s="24" t="s">
        <v>31</v>
      </c>
      <c r="E414" s="24" t="s">
        <v>31</v>
      </c>
      <c r="F414" s="39">
        <v>24</v>
      </c>
      <c r="G414" s="25">
        <v>24</v>
      </c>
      <c r="H414">
        <f>IF(F414=G414,1,0)</f>
        <v>1</v>
      </c>
    </row>
    <row r="415" spans="1:8" ht="15.75" x14ac:dyDescent="0.25">
      <c r="A415" s="24" t="s">
        <v>139</v>
      </c>
      <c r="B415" s="25">
        <v>1</v>
      </c>
      <c r="C415" s="25">
        <v>12.67</v>
      </c>
      <c r="D415" s="24" t="s">
        <v>31</v>
      </c>
      <c r="E415" s="24" t="s">
        <v>31</v>
      </c>
      <c r="F415" s="39">
        <v>24</v>
      </c>
      <c r="G415" s="25">
        <v>24</v>
      </c>
      <c r="H415">
        <f>IF(F415=G415,1,0)</f>
        <v>1</v>
      </c>
    </row>
    <row r="416" spans="1:8" ht="15.75" x14ac:dyDescent="0.25">
      <c r="A416" s="24" t="s">
        <v>223</v>
      </c>
      <c r="B416" s="25">
        <v>1</v>
      </c>
      <c r="C416" s="25">
        <v>12.67</v>
      </c>
      <c r="D416" s="24" t="s">
        <v>31</v>
      </c>
      <c r="E416" s="24" t="s">
        <v>31</v>
      </c>
      <c r="F416" s="39">
        <v>24</v>
      </c>
      <c r="G416" s="25">
        <v>24</v>
      </c>
      <c r="H416">
        <f>IF(F416=G416,1,0)</f>
        <v>1</v>
      </c>
    </row>
    <row r="417" spans="1:8" ht="15.75" x14ac:dyDescent="0.25">
      <c r="A417" s="24" t="s">
        <v>223</v>
      </c>
      <c r="B417" s="25">
        <v>1</v>
      </c>
      <c r="C417" s="25">
        <v>12.67</v>
      </c>
      <c r="D417" s="24" t="s">
        <v>31</v>
      </c>
      <c r="E417" s="24" t="s">
        <v>31</v>
      </c>
      <c r="F417" s="39">
        <v>24</v>
      </c>
      <c r="G417" s="25">
        <v>24</v>
      </c>
      <c r="H417">
        <f>IF(F417=G417,1,0)</f>
        <v>1</v>
      </c>
    </row>
    <row r="418" spans="1:8" ht="15.75" x14ac:dyDescent="0.25">
      <c r="A418" s="24" t="s">
        <v>139</v>
      </c>
      <c r="B418" s="25">
        <v>1</v>
      </c>
      <c r="C418" s="25">
        <v>12.67</v>
      </c>
      <c r="D418" s="24" t="s">
        <v>31</v>
      </c>
      <c r="E418" s="24" t="s">
        <v>31</v>
      </c>
      <c r="F418" s="39">
        <v>24</v>
      </c>
      <c r="G418" s="25">
        <v>24</v>
      </c>
      <c r="H418">
        <f>IF(F418=G418,1,0)</f>
        <v>1</v>
      </c>
    </row>
    <row r="419" spans="1:8" ht="15.75" x14ac:dyDescent="0.25">
      <c r="A419" s="24" t="s">
        <v>139</v>
      </c>
      <c r="B419" s="25">
        <v>1</v>
      </c>
      <c r="C419" s="25">
        <v>12.67</v>
      </c>
      <c r="D419" s="24" t="s">
        <v>31</v>
      </c>
      <c r="E419" s="24" t="s">
        <v>31</v>
      </c>
      <c r="F419" s="39">
        <v>24</v>
      </c>
      <c r="G419" s="25">
        <v>24</v>
      </c>
      <c r="H419">
        <f>IF(F419=G419,1,0)</f>
        <v>1</v>
      </c>
    </row>
    <row r="420" spans="1:8" ht="15.75" x14ac:dyDescent="0.25">
      <c r="A420" s="24" t="s">
        <v>139</v>
      </c>
      <c r="B420" s="25">
        <v>1</v>
      </c>
      <c r="C420" s="25">
        <v>12.67</v>
      </c>
      <c r="D420" s="24" t="s">
        <v>31</v>
      </c>
      <c r="E420" s="24" t="s">
        <v>31</v>
      </c>
      <c r="F420" s="39">
        <v>24</v>
      </c>
      <c r="G420" s="25">
        <v>24</v>
      </c>
      <c r="H420">
        <f>IF(F420=G420,1,0)</f>
        <v>1</v>
      </c>
    </row>
    <row r="421" spans="1:8" ht="15.75" x14ac:dyDescent="0.25">
      <c r="A421" s="24" t="s">
        <v>208</v>
      </c>
      <c r="B421" s="25">
        <v>1</v>
      </c>
      <c r="C421" s="25">
        <v>34</v>
      </c>
      <c r="D421" s="24" t="s">
        <v>31</v>
      </c>
      <c r="E421" s="24" t="s">
        <v>31</v>
      </c>
      <c r="F421" s="39">
        <v>24</v>
      </c>
      <c r="G421" s="25">
        <v>24</v>
      </c>
      <c r="H421">
        <f>IF(F421=G421,1,0)</f>
        <v>1</v>
      </c>
    </row>
    <row r="422" spans="1:8" ht="15.75" x14ac:dyDescent="0.25">
      <c r="A422" s="24" t="s">
        <v>208</v>
      </c>
      <c r="B422" s="25">
        <v>1</v>
      </c>
      <c r="C422" s="25">
        <v>0</v>
      </c>
      <c r="D422" s="27" t="s">
        <v>31</v>
      </c>
      <c r="E422" s="27" t="s">
        <v>31</v>
      </c>
      <c r="F422" s="39">
        <v>5</v>
      </c>
      <c r="G422" s="25">
        <v>5</v>
      </c>
      <c r="H422">
        <f>IF(F422=G422,1,0)</f>
        <v>1</v>
      </c>
    </row>
    <row r="423" spans="1:8" ht="15.75" x14ac:dyDescent="0.25">
      <c r="A423" s="24" t="s">
        <v>236</v>
      </c>
      <c r="B423" s="25">
        <v>1</v>
      </c>
      <c r="C423" s="25">
        <v>15.58</v>
      </c>
      <c r="D423" s="24" t="s">
        <v>31</v>
      </c>
      <c r="E423" s="24" t="s">
        <v>31</v>
      </c>
      <c r="F423" s="39">
        <v>24</v>
      </c>
      <c r="G423" s="25">
        <v>24</v>
      </c>
      <c r="H423">
        <f>IF(F423=G423,1,0)</f>
        <v>1</v>
      </c>
    </row>
    <row r="424" spans="1:8" ht="15.75" x14ac:dyDescent="0.25">
      <c r="A424" s="24" t="s">
        <v>238</v>
      </c>
      <c r="B424" s="25">
        <v>2</v>
      </c>
      <c r="C424" s="25">
        <v>19.16</v>
      </c>
      <c r="D424" s="24" t="s">
        <v>31</v>
      </c>
      <c r="E424" s="24" t="s">
        <v>31</v>
      </c>
      <c r="F424" s="39">
        <v>48</v>
      </c>
      <c r="G424" s="25">
        <v>48</v>
      </c>
      <c r="H424">
        <f>IF(F424=G424,1,0)</f>
        <v>1</v>
      </c>
    </row>
    <row r="425" spans="1:8" ht="15.75" x14ac:dyDescent="0.25">
      <c r="A425" s="24" t="s">
        <v>241</v>
      </c>
      <c r="B425" s="25">
        <v>2</v>
      </c>
      <c r="C425" s="25">
        <v>51.1</v>
      </c>
      <c r="D425" s="24" t="s">
        <v>31</v>
      </c>
      <c r="E425" s="24" t="s">
        <v>31</v>
      </c>
      <c r="F425" s="39">
        <v>48</v>
      </c>
      <c r="G425" s="25">
        <v>48</v>
      </c>
      <c r="H425">
        <f>IF(F425=G425,1,0)</f>
        <v>1</v>
      </c>
    </row>
    <row r="426" spans="1:8" ht="15.75" x14ac:dyDescent="0.25">
      <c r="A426" s="24" t="s">
        <v>241</v>
      </c>
      <c r="B426" s="25">
        <v>2</v>
      </c>
      <c r="C426" s="25">
        <v>0</v>
      </c>
      <c r="D426" s="27" t="s">
        <v>31</v>
      </c>
      <c r="E426" s="27" t="s">
        <v>31</v>
      </c>
      <c r="F426" s="39">
        <v>10</v>
      </c>
      <c r="G426" s="25">
        <v>10</v>
      </c>
      <c r="H426">
        <f>IF(F426=G426,1,0)</f>
        <v>1</v>
      </c>
    </row>
    <row r="427" spans="1:8" ht="15.75" x14ac:dyDescent="0.25">
      <c r="A427" s="24" t="s">
        <v>244</v>
      </c>
      <c r="B427" s="25">
        <v>1</v>
      </c>
      <c r="C427" s="25">
        <v>17.100000000000001</v>
      </c>
      <c r="D427" s="24" t="s">
        <v>31</v>
      </c>
      <c r="E427" s="24" t="s">
        <v>31</v>
      </c>
      <c r="F427" s="39">
        <v>24</v>
      </c>
      <c r="G427" s="25">
        <v>24</v>
      </c>
      <c r="H427">
        <f>IF(F427=G427,1,0)</f>
        <v>1</v>
      </c>
    </row>
    <row r="428" spans="1:8" ht="15.75" x14ac:dyDescent="0.25">
      <c r="A428" s="24" t="s">
        <v>244</v>
      </c>
      <c r="B428" s="25">
        <v>1</v>
      </c>
      <c r="C428" s="25">
        <v>0</v>
      </c>
      <c r="D428" s="27" t="s">
        <v>31</v>
      </c>
      <c r="E428" s="27" t="s">
        <v>31</v>
      </c>
      <c r="F428" s="39">
        <v>5</v>
      </c>
      <c r="G428" s="25">
        <v>5</v>
      </c>
      <c r="H428">
        <f>IF(F428=G428,1,0)</f>
        <v>1</v>
      </c>
    </row>
    <row r="429" spans="1:8" ht="15.75" x14ac:dyDescent="0.25">
      <c r="A429" s="24" t="s">
        <v>139</v>
      </c>
      <c r="B429" s="25">
        <v>1</v>
      </c>
      <c r="C429" s="25">
        <v>12.67</v>
      </c>
      <c r="D429" s="24" t="s">
        <v>31</v>
      </c>
      <c r="E429" s="24" t="s">
        <v>31</v>
      </c>
      <c r="F429" s="39">
        <v>24</v>
      </c>
      <c r="G429" s="25">
        <v>24</v>
      </c>
      <c r="H429">
        <f>IF(F429=G429,1,0)</f>
        <v>1</v>
      </c>
    </row>
    <row r="430" spans="1:8" ht="15.75" x14ac:dyDescent="0.25">
      <c r="A430" s="24" t="s">
        <v>249</v>
      </c>
      <c r="B430" s="25">
        <v>1</v>
      </c>
      <c r="C430" s="25">
        <v>12.67</v>
      </c>
      <c r="D430" s="24" t="s">
        <v>31</v>
      </c>
      <c r="E430" s="24" t="s">
        <v>31</v>
      </c>
      <c r="F430" s="39">
        <v>24</v>
      </c>
      <c r="G430" s="25">
        <v>24</v>
      </c>
      <c r="H430">
        <f>IF(F430=G430,1,0)</f>
        <v>1</v>
      </c>
    </row>
    <row r="431" spans="1:8" ht="15.75" x14ac:dyDescent="0.25">
      <c r="A431" s="24" t="s">
        <v>252</v>
      </c>
      <c r="B431" s="25">
        <v>1</v>
      </c>
      <c r="C431" s="25">
        <v>13.77</v>
      </c>
      <c r="D431" s="24" t="s">
        <v>31</v>
      </c>
      <c r="E431" s="24" t="s">
        <v>31</v>
      </c>
      <c r="F431" s="39">
        <v>24</v>
      </c>
      <c r="G431" s="25">
        <v>24</v>
      </c>
      <c r="H431">
        <f>IF(F431=G431,1,0)</f>
        <v>1</v>
      </c>
    </row>
    <row r="432" spans="1:8" ht="15.75" x14ac:dyDescent="0.25">
      <c r="A432" s="24" t="s">
        <v>254</v>
      </c>
      <c r="B432" s="25">
        <v>1</v>
      </c>
      <c r="C432" s="25">
        <v>8.31</v>
      </c>
      <c r="D432" s="24" t="s">
        <v>31</v>
      </c>
      <c r="E432" s="24" t="s">
        <v>31</v>
      </c>
      <c r="F432" s="39">
        <v>24</v>
      </c>
      <c r="G432" s="25">
        <v>24</v>
      </c>
      <c r="H432">
        <f>IF(F432=G432,1,0)</f>
        <v>1</v>
      </c>
    </row>
    <row r="433" spans="1:8" ht="15.75" x14ac:dyDescent="0.25">
      <c r="A433" s="24" t="s">
        <v>257</v>
      </c>
      <c r="B433" s="25">
        <v>1</v>
      </c>
      <c r="C433" s="25">
        <v>12.5</v>
      </c>
      <c r="D433" s="24" t="s">
        <v>31</v>
      </c>
      <c r="E433" s="24" t="s">
        <v>31</v>
      </c>
      <c r="F433" s="39">
        <v>24</v>
      </c>
      <c r="G433" s="25">
        <v>24</v>
      </c>
      <c r="H433">
        <f>IF(F433=G433,1,0)</f>
        <v>1</v>
      </c>
    </row>
    <row r="434" spans="1:8" ht="15.75" x14ac:dyDescent="0.25">
      <c r="A434" s="24" t="s">
        <v>260</v>
      </c>
      <c r="B434" s="25">
        <v>1</v>
      </c>
      <c r="C434" s="25">
        <v>36</v>
      </c>
      <c r="D434" s="24" t="s">
        <v>31</v>
      </c>
      <c r="E434" s="24" t="s">
        <v>31</v>
      </c>
      <c r="F434" s="39">
        <v>24</v>
      </c>
      <c r="G434" s="25">
        <v>24</v>
      </c>
      <c r="H434">
        <f>IF(F434=G434,1,0)</f>
        <v>1</v>
      </c>
    </row>
    <row r="435" spans="1:8" ht="15.75" x14ac:dyDescent="0.25">
      <c r="A435" s="24" t="s">
        <v>260</v>
      </c>
      <c r="B435" s="25">
        <v>2</v>
      </c>
      <c r="C435" s="25">
        <v>0</v>
      </c>
      <c r="D435" s="27" t="s">
        <v>31</v>
      </c>
      <c r="E435" s="27" t="s">
        <v>31</v>
      </c>
      <c r="F435" s="39">
        <v>10</v>
      </c>
      <c r="G435" s="25">
        <v>10</v>
      </c>
      <c r="H435">
        <f>IF(F435=G435,1,0)</f>
        <v>1</v>
      </c>
    </row>
    <row r="436" spans="1:8" ht="15.75" x14ac:dyDescent="0.25">
      <c r="A436" s="24" t="s">
        <v>263</v>
      </c>
      <c r="B436" s="25">
        <v>1</v>
      </c>
      <c r="C436" s="25">
        <v>34</v>
      </c>
      <c r="D436" s="24" t="s">
        <v>31</v>
      </c>
      <c r="E436" s="24" t="s">
        <v>31</v>
      </c>
      <c r="F436" s="39">
        <v>24</v>
      </c>
      <c r="G436" s="25">
        <v>24</v>
      </c>
      <c r="H436">
        <f>IF(F436=G436,1,0)</f>
        <v>1</v>
      </c>
    </row>
    <row r="437" spans="1:8" ht="15.75" x14ac:dyDescent="0.25">
      <c r="A437" s="24" t="s">
        <v>263</v>
      </c>
      <c r="B437" s="25">
        <v>1</v>
      </c>
      <c r="C437" s="25">
        <v>0</v>
      </c>
      <c r="D437" s="27" t="s">
        <v>31</v>
      </c>
      <c r="E437" s="27" t="s">
        <v>31</v>
      </c>
      <c r="F437" s="39">
        <v>5</v>
      </c>
      <c r="G437" s="25">
        <v>5</v>
      </c>
      <c r="H437">
        <f>IF(F437=G437,1,0)</f>
        <v>1</v>
      </c>
    </row>
    <row r="438" spans="1:8" ht="15.75" x14ac:dyDescent="0.25">
      <c r="A438" s="24" t="s">
        <v>266</v>
      </c>
      <c r="B438" s="25">
        <v>1</v>
      </c>
      <c r="C438" s="25">
        <v>34</v>
      </c>
      <c r="D438" s="24" t="s">
        <v>31</v>
      </c>
      <c r="E438" s="24" t="s">
        <v>31</v>
      </c>
      <c r="F438" s="39">
        <v>24</v>
      </c>
      <c r="G438" s="25">
        <v>24</v>
      </c>
      <c r="H438">
        <f>IF(F438=G438,1,0)</f>
        <v>1</v>
      </c>
    </row>
    <row r="439" spans="1:8" ht="15.75" x14ac:dyDescent="0.25">
      <c r="A439" s="24" t="s">
        <v>266</v>
      </c>
      <c r="B439" s="25">
        <v>1</v>
      </c>
      <c r="C439" s="25">
        <v>0</v>
      </c>
      <c r="D439" s="27" t="s">
        <v>31</v>
      </c>
      <c r="E439" s="27" t="s">
        <v>31</v>
      </c>
      <c r="F439" s="39">
        <v>5</v>
      </c>
      <c r="G439" s="25">
        <v>5</v>
      </c>
      <c r="H439">
        <f>IF(F439=G439,1,0)</f>
        <v>1</v>
      </c>
    </row>
    <row r="440" spans="1:8" ht="15.75" x14ac:dyDescent="0.25">
      <c r="A440" s="24" t="s">
        <v>263</v>
      </c>
      <c r="B440" s="25">
        <v>1</v>
      </c>
      <c r="C440" s="25">
        <v>34</v>
      </c>
      <c r="D440" s="24" t="s">
        <v>31</v>
      </c>
      <c r="E440" s="24" t="s">
        <v>31</v>
      </c>
      <c r="F440" s="39">
        <v>24</v>
      </c>
      <c r="G440" s="25">
        <v>24</v>
      </c>
      <c r="H440">
        <f>IF(F440=G440,1,0)</f>
        <v>1</v>
      </c>
    </row>
    <row r="441" spans="1:8" ht="15.75" x14ac:dyDescent="0.25">
      <c r="A441" s="24" t="s">
        <v>263</v>
      </c>
      <c r="B441" s="25">
        <v>1</v>
      </c>
      <c r="C441" s="25">
        <v>0</v>
      </c>
      <c r="D441" s="27" t="s">
        <v>31</v>
      </c>
      <c r="E441" s="27" t="s">
        <v>31</v>
      </c>
      <c r="F441" s="39">
        <v>5</v>
      </c>
      <c r="G441" s="25">
        <v>5</v>
      </c>
      <c r="H441">
        <f>IF(F441=G441,1,0)</f>
        <v>1</v>
      </c>
    </row>
    <row r="442" spans="1:8" ht="15.75" x14ac:dyDescent="0.25">
      <c r="A442" s="24" t="s">
        <v>263</v>
      </c>
      <c r="B442" s="25">
        <v>1</v>
      </c>
      <c r="C442" s="25">
        <v>40.299999999999997</v>
      </c>
      <c r="D442" s="24" t="s">
        <v>31</v>
      </c>
      <c r="E442" s="24" t="s">
        <v>31</v>
      </c>
      <c r="F442" s="39">
        <v>24</v>
      </c>
      <c r="G442" s="25">
        <v>24</v>
      </c>
      <c r="H442">
        <f>IF(F442=G442,1,0)</f>
        <v>1</v>
      </c>
    </row>
    <row r="443" spans="1:8" ht="15.75" x14ac:dyDescent="0.25">
      <c r="A443" s="24" t="s">
        <v>263</v>
      </c>
      <c r="B443" s="25">
        <v>2</v>
      </c>
      <c r="C443" s="25">
        <v>0</v>
      </c>
      <c r="D443" s="27" t="s">
        <v>31</v>
      </c>
      <c r="E443" s="27" t="s">
        <v>31</v>
      </c>
      <c r="F443" s="39">
        <v>10</v>
      </c>
      <c r="G443" s="25">
        <v>10</v>
      </c>
      <c r="H443">
        <f>IF(F443=G443,1,0)</f>
        <v>1</v>
      </c>
    </row>
    <row r="444" spans="1:8" ht="15.75" x14ac:dyDescent="0.25">
      <c r="A444" s="24" t="s">
        <v>273</v>
      </c>
      <c r="B444" s="25">
        <v>1</v>
      </c>
      <c r="C444" s="25">
        <v>40.450000000000003</v>
      </c>
      <c r="D444" s="24" t="s">
        <v>31</v>
      </c>
      <c r="E444" s="24" t="s">
        <v>31</v>
      </c>
      <c r="F444" s="39">
        <v>24</v>
      </c>
      <c r="G444" s="25">
        <v>24</v>
      </c>
      <c r="H444">
        <f>IF(F444=G444,1,0)</f>
        <v>1</v>
      </c>
    </row>
    <row r="445" spans="1:8" ht="15.75" x14ac:dyDescent="0.25">
      <c r="A445" s="24" t="s">
        <v>273</v>
      </c>
      <c r="B445" s="25">
        <v>2</v>
      </c>
      <c r="C445" s="25">
        <v>0</v>
      </c>
      <c r="D445" s="27" t="s">
        <v>31</v>
      </c>
      <c r="E445" s="27" t="s">
        <v>31</v>
      </c>
      <c r="F445" s="39">
        <v>10</v>
      </c>
      <c r="G445" s="25">
        <v>10</v>
      </c>
      <c r="H445">
        <f>IF(F445=G445,1,0)</f>
        <v>1</v>
      </c>
    </row>
    <row r="446" spans="1:8" ht="15.75" x14ac:dyDescent="0.25">
      <c r="A446" s="24" t="s">
        <v>276</v>
      </c>
      <c r="B446" s="25">
        <v>1</v>
      </c>
      <c r="C446" s="25">
        <v>40.450000000000003</v>
      </c>
      <c r="D446" s="24" t="s">
        <v>31</v>
      </c>
      <c r="E446" s="24" t="s">
        <v>31</v>
      </c>
      <c r="F446" s="39">
        <v>24</v>
      </c>
      <c r="G446" s="25">
        <v>24</v>
      </c>
      <c r="H446">
        <f>IF(F446=G446,1,0)</f>
        <v>1</v>
      </c>
    </row>
    <row r="447" spans="1:8" ht="15.75" x14ac:dyDescent="0.25">
      <c r="A447" s="24" t="s">
        <v>276</v>
      </c>
      <c r="B447" s="25">
        <v>2</v>
      </c>
      <c r="C447" s="25">
        <v>0</v>
      </c>
      <c r="D447" s="27" t="s">
        <v>31</v>
      </c>
      <c r="E447" s="27" t="s">
        <v>31</v>
      </c>
      <c r="F447" s="39">
        <v>10</v>
      </c>
      <c r="G447" s="25">
        <v>10</v>
      </c>
      <c r="H447">
        <f>IF(F447=G447,1,0)</f>
        <v>1</v>
      </c>
    </row>
    <row r="448" spans="1:8" ht="15.75" x14ac:dyDescent="0.25">
      <c r="A448" s="24" t="s">
        <v>279</v>
      </c>
      <c r="B448" s="25">
        <v>1</v>
      </c>
      <c r="C448" s="25">
        <v>34.15</v>
      </c>
      <c r="D448" s="24" t="s">
        <v>31</v>
      </c>
      <c r="E448" s="24" t="s">
        <v>31</v>
      </c>
      <c r="F448" s="39">
        <v>24</v>
      </c>
      <c r="G448" s="25">
        <v>24</v>
      </c>
      <c r="H448">
        <f>IF(F448=G448,1,0)</f>
        <v>1</v>
      </c>
    </row>
    <row r="449" spans="1:8" ht="15.75" x14ac:dyDescent="0.25">
      <c r="A449" s="24" t="s">
        <v>279</v>
      </c>
      <c r="B449" s="25">
        <v>1</v>
      </c>
      <c r="C449" s="25">
        <v>0</v>
      </c>
      <c r="D449" s="27" t="s">
        <v>31</v>
      </c>
      <c r="E449" s="27" t="s">
        <v>31</v>
      </c>
      <c r="F449" s="39">
        <v>5</v>
      </c>
      <c r="G449" s="25">
        <v>5</v>
      </c>
      <c r="H449">
        <f>IF(F449=G449,1,0)</f>
        <v>1</v>
      </c>
    </row>
    <row r="450" spans="1:8" ht="15.75" x14ac:dyDescent="0.25">
      <c r="A450" s="24" t="s">
        <v>282</v>
      </c>
      <c r="B450" s="25">
        <v>2</v>
      </c>
      <c r="C450" s="25">
        <v>68.3</v>
      </c>
      <c r="D450" s="24" t="s">
        <v>31</v>
      </c>
      <c r="E450" s="24" t="s">
        <v>31</v>
      </c>
      <c r="F450" s="39">
        <v>48</v>
      </c>
      <c r="G450" s="25">
        <v>48</v>
      </c>
      <c r="H450">
        <f>IF(F450=G450,1,0)</f>
        <v>1</v>
      </c>
    </row>
    <row r="451" spans="1:8" ht="15.75" x14ac:dyDescent="0.25">
      <c r="A451" s="24" t="s">
        <v>282</v>
      </c>
      <c r="B451" s="25">
        <v>2</v>
      </c>
      <c r="C451" s="25">
        <v>0</v>
      </c>
      <c r="D451" s="27" t="s">
        <v>31</v>
      </c>
      <c r="E451" s="27" t="s">
        <v>31</v>
      </c>
      <c r="F451" s="39">
        <v>10</v>
      </c>
      <c r="G451" s="25">
        <v>10</v>
      </c>
      <c r="H451">
        <f>IF(F451=G451,1,0)</f>
        <v>1</v>
      </c>
    </row>
    <row r="452" spans="1:8" ht="15.75" x14ac:dyDescent="0.25">
      <c r="A452" s="24" t="s">
        <v>279</v>
      </c>
      <c r="B452" s="25">
        <v>1</v>
      </c>
      <c r="C452" s="25">
        <v>34.15</v>
      </c>
      <c r="D452" s="24" t="s">
        <v>31</v>
      </c>
      <c r="E452" s="24" t="s">
        <v>31</v>
      </c>
      <c r="F452" s="39">
        <v>24</v>
      </c>
      <c r="G452" s="25">
        <v>24</v>
      </c>
      <c r="H452">
        <f>IF(F452=G452,1,0)</f>
        <v>1</v>
      </c>
    </row>
    <row r="453" spans="1:8" ht="15.75" x14ac:dyDescent="0.25">
      <c r="A453" s="24" t="s">
        <v>279</v>
      </c>
      <c r="B453" s="25">
        <v>1</v>
      </c>
      <c r="C453" s="25">
        <v>0</v>
      </c>
      <c r="D453" s="27" t="s">
        <v>31</v>
      </c>
      <c r="E453" s="27" t="s">
        <v>31</v>
      </c>
      <c r="F453" s="39">
        <v>5</v>
      </c>
      <c r="G453" s="25">
        <v>5</v>
      </c>
      <c r="H453">
        <f>IF(F453=G453,1,0)</f>
        <v>1</v>
      </c>
    </row>
    <row r="454" spans="1:8" ht="15.75" x14ac:dyDescent="0.25">
      <c r="A454" s="24" t="s">
        <v>279</v>
      </c>
      <c r="B454" s="25">
        <v>1</v>
      </c>
      <c r="C454" s="25">
        <v>34.15</v>
      </c>
      <c r="D454" s="24" t="s">
        <v>31</v>
      </c>
      <c r="E454" s="24" t="s">
        <v>31</v>
      </c>
      <c r="F454" s="39">
        <v>24</v>
      </c>
      <c r="G454" s="25">
        <v>24</v>
      </c>
      <c r="H454">
        <f>IF(F454=G454,1,0)</f>
        <v>1</v>
      </c>
    </row>
    <row r="455" spans="1:8" ht="15.75" x14ac:dyDescent="0.25">
      <c r="A455" s="24" t="s">
        <v>279</v>
      </c>
      <c r="B455" s="25">
        <v>1</v>
      </c>
      <c r="C455" s="25">
        <v>0</v>
      </c>
      <c r="D455" s="27" t="s">
        <v>31</v>
      </c>
      <c r="E455" s="27" t="s">
        <v>31</v>
      </c>
      <c r="F455" s="39">
        <v>5</v>
      </c>
      <c r="G455" s="25">
        <v>5</v>
      </c>
      <c r="H455">
        <f>IF(F455=G455,1,0)</f>
        <v>1</v>
      </c>
    </row>
    <row r="456" spans="1:8" ht="15.75" x14ac:dyDescent="0.25">
      <c r="A456" s="24" t="s">
        <v>289</v>
      </c>
      <c r="B456" s="25">
        <v>3</v>
      </c>
      <c r="C456" s="25">
        <v>102.45</v>
      </c>
      <c r="D456" s="24" t="s">
        <v>31</v>
      </c>
      <c r="E456" s="24" t="s">
        <v>31</v>
      </c>
      <c r="F456" s="39">
        <v>72</v>
      </c>
      <c r="G456" s="25">
        <v>72</v>
      </c>
      <c r="H456">
        <f>IF(F456=G456,1,0)</f>
        <v>1</v>
      </c>
    </row>
    <row r="457" spans="1:8" ht="15.75" x14ac:dyDescent="0.25">
      <c r="A457" s="24" t="s">
        <v>289</v>
      </c>
      <c r="B457" s="25">
        <v>3</v>
      </c>
      <c r="C457" s="25">
        <v>0</v>
      </c>
      <c r="D457" s="27" t="s">
        <v>31</v>
      </c>
      <c r="E457" s="27" t="s">
        <v>31</v>
      </c>
      <c r="F457" s="39">
        <v>15</v>
      </c>
      <c r="G457" s="25">
        <v>15</v>
      </c>
      <c r="H457">
        <f>IF(F457=G457,1,0)</f>
        <v>1</v>
      </c>
    </row>
    <row r="458" spans="1:8" ht="15.75" x14ac:dyDescent="0.25">
      <c r="A458" s="24" t="s">
        <v>292</v>
      </c>
      <c r="B458" s="25">
        <v>1</v>
      </c>
      <c r="C458" s="25">
        <v>12</v>
      </c>
      <c r="D458" s="24" t="s">
        <v>31</v>
      </c>
      <c r="E458" s="24" t="s">
        <v>31</v>
      </c>
      <c r="F458" s="39">
        <v>24</v>
      </c>
      <c r="G458" s="25">
        <v>24</v>
      </c>
      <c r="H458">
        <f>IF(F458=G458,1,0)</f>
        <v>1</v>
      </c>
    </row>
    <row r="459" spans="1:8" ht="15.75" x14ac:dyDescent="0.25">
      <c r="A459" s="24" t="s">
        <v>295</v>
      </c>
      <c r="B459" s="25">
        <v>1</v>
      </c>
      <c r="C459" s="25">
        <v>8.4499999999999993</v>
      </c>
      <c r="D459" s="24" t="s">
        <v>31</v>
      </c>
      <c r="E459" s="24" t="s">
        <v>31</v>
      </c>
      <c r="F459" s="39">
        <v>24</v>
      </c>
      <c r="G459" s="25">
        <v>24</v>
      </c>
      <c r="H459">
        <f>IF(F459=G459,1,0)</f>
        <v>1</v>
      </c>
    </row>
    <row r="460" spans="1:8" ht="15.75" x14ac:dyDescent="0.25">
      <c r="A460" s="24" t="s">
        <v>297</v>
      </c>
      <c r="B460" s="25">
        <v>1</v>
      </c>
      <c r="C460" s="25">
        <v>9.9</v>
      </c>
      <c r="D460" s="24" t="s">
        <v>31</v>
      </c>
      <c r="E460" s="24" t="s">
        <v>31</v>
      </c>
      <c r="F460" s="39">
        <v>24</v>
      </c>
      <c r="G460" s="25">
        <v>24</v>
      </c>
      <c r="H460">
        <f>IF(F460=G460,1,0)</f>
        <v>1</v>
      </c>
    </row>
    <row r="461" spans="1:8" ht="15.75" x14ac:dyDescent="0.25">
      <c r="A461" s="24" t="s">
        <v>297</v>
      </c>
      <c r="B461" s="25">
        <v>1</v>
      </c>
      <c r="C461" s="25">
        <v>9.9</v>
      </c>
      <c r="D461" s="24" t="s">
        <v>31</v>
      </c>
      <c r="E461" s="24" t="s">
        <v>31</v>
      </c>
      <c r="F461" s="39">
        <v>24</v>
      </c>
      <c r="G461" s="25">
        <v>24</v>
      </c>
      <c r="H461">
        <f>IF(F461=G461,1,0)</f>
        <v>1</v>
      </c>
    </row>
    <row r="462" spans="1:8" ht="15.75" x14ac:dyDescent="0.25">
      <c r="A462" s="24" t="s">
        <v>302</v>
      </c>
      <c r="B462" s="25">
        <v>1</v>
      </c>
      <c r="C462" s="25">
        <v>8.6999999999999993</v>
      </c>
      <c r="D462" s="24" t="s">
        <v>31</v>
      </c>
      <c r="E462" s="24" t="s">
        <v>31</v>
      </c>
      <c r="F462" s="39">
        <v>24</v>
      </c>
      <c r="G462" s="25">
        <v>24</v>
      </c>
      <c r="H462">
        <f>IF(F462=G462,1,0)</f>
        <v>1</v>
      </c>
    </row>
    <row r="463" spans="1:8" ht="15.75" x14ac:dyDescent="0.25">
      <c r="A463" s="24" t="s">
        <v>305</v>
      </c>
      <c r="B463" s="25">
        <v>1</v>
      </c>
      <c r="C463" s="25">
        <v>9</v>
      </c>
      <c r="D463" s="24" t="s">
        <v>31</v>
      </c>
      <c r="E463" s="24" t="s">
        <v>31</v>
      </c>
      <c r="F463" s="39">
        <v>24</v>
      </c>
      <c r="G463" s="25">
        <v>24</v>
      </c>
      <c r="H463">
        <f>IF(F463=G463,1,0)</f>
        <v>1</v>
      </c>
    </row>
    <row r="464" spans="1:8" ht="15.75" x14ac:dyDescent="0.25">
      <c r="A464" s="24" t="s">
        <v>308</v>
      </c>
      <c r="B464" s="25">
        <v>1</v>
      </c>
      <c r="C464" s="25">
        <v>11.88</v>
      </c>
      <c r="D464" s="24" t="s">
        <v>31</v>
      </c>
      <c r="E464" s="24" t="s">
        <v>31</v>
      </c>
      <c r="F464" s="39">
        <v>24</v>
      </c>
      <c r="G464" s="25">
        <v>24</v>
      </c>
      <c r="H464">
        <f>IF(F464=G464,1,0)</f>
        <v>1</v>
      </c>
    </row>
    <row r="465" spans="1:8" ht="15.75" x14ac:dyDescent="0.25">
      <c r="A465" s="24" t="s">
        <v>311</v>
      </c>
      <c r="B465" s="25">
        <v>3</v>
      </c>
      <c r="C465" s="25">
        <v>17.8</v>
      </c>
      <c r="D465" s="24" t="s">
        <v>31</v>
      </c>
      <c r="E465" s="24" t="s">
        <v>31</v>
      </c>
      <c r="F465" s="39">
        <v>72</v>
      </c>
      <c r="G465" s="25">
        <v>72</v>
      </c>
      <c r="H465">
        <f>IF(F465=G465,1,0)</f>
        <v>1</v>
      </c>
    </row>
    <row r="466" spans="1:8" ht="15.75" x14ac:dyDescent="0.25">
      <c r="A466" s="24" t="s">
        <v>314</v>
      </c>
      <c r="B466" s="25">
        <v>3</v>
      </c>
      <c r="C466" s="25">
        <v>17.8</v>
      </c>
      <c r="D466" s="24" t="s">
        <v>31</v>
      </c>
      <c r="E466" s="24" t="s">
        <v>31</v>
      </c>
      <c r="F466" s="39">
        <v>72</v>
      </c>
      <c r="G466" s="25">
        <v>72</v>
      </c>
      <c r="H466">
        <f>IF(F466=G466,1,0)</f>
        <v>1</v>
      </c>
    </row>
    <row r="467" spans="1:8" ht="15.75" x14ac:dyDescent="0.25">
      <c r="A467" s="24" t="s">
        <v>316</v>
      </c>
      <c r="B467" s="25">
        <v>2</v>
      </c>
      <c r="C467" s="25">
        <v>2.9729999999999999</v>
      </c>
      <c r="D467" s="24" t="s">
        <v>31</v>
      </c>
      <c r="E467" s="24" t="s">
        <v>31</v>
      </c>
      <c r="F467" s="39">
        <v>48</v>
      </c>
      <c r="G467" s="25">
        <v>48</v>
      </c>
      <c r="H467">
        <f>IF(F467=G467,1,0)</f>
        <v>1</v>
      </c>
    </row>
    <row r="468" spans="1:8" ht="15.75" x14ac:dyDescent="0.25">
      <c r="A468" s="24" t="s">
        <v>316</v>
      </c>
      <c r="B468" s="25">
        <v>2</v>
      </c>
      <c r="C468" s="25">
        <v>0</v>
      </c>
      <c r="D468" s="27" t="s">
        <v>31</v>
      </c>
      <c r="E468" s="27" t="s">
        <v>31</v>
      </c>
      <c r="F468" s="39">
        <v>10</v>
      </c>
      <c r="G468" s="25">
        <v>10</v>
      </c>
      <c r="H468">
        <f>IF(F468=G468,1,0)</f>
        <v>1</v>
      </c>
    </row>
    <row r="469" spans="1:8" ht="15.75" x14ac:dyDescent="0.25">
      <c r="A469" s="24" t="s">
        <v>279</v>
      </c>
      <c r="B469" s="25">
        <v>1</v>
      </c>
      <c r="C469" s="25">
        <v>34</v>
      </c>
      <c r="D469" s="24" t="s">
        <v>31</v>
      </c>
      <c r="E469" s="24" t="s">
        <v>31</v>
      </c>
      <c r="F469" s="39">
        <v>24</v>
      </c>
      <c r="G469" s="25">
        <v>24</v>
      </c>
      <c r="H469">
        <f>IF(F469=G469,1,0)</f>
        <v>1</v>
      </c>
    </row>
    <row r="470" spans="1:8" ht="15.75" x14ac:dyDescent="0.25">
      <c r="A470" s="24" t="s">
        <v>279</v>
      </c>
      <c r="B470" s="25">
        <v>1</v>
      </c>
      <c r="C470" s="25">
        <v>0</v>
      </c>
      <c r="D470" s="27" t="s">
        <v>31</v>
      </c>
      <c r="E470" s="27" t="s">
        <v>31</v>
      </c>
      <c r="F470" s="39">
        <v>5</v>
      </c>
      <c r="G470" s="25">
        <v>5</v>
      </c>
      <c r="H470">
        <f>IF(F470=G470,1,0)</f>
        <v>1</v>
      </c>
    </row>
    <row r="471" spans="1:8" ht="15.75" x14ac:dyDescent="0.25">
      <c r="A471" s="24" t="s">
        <v>279</v>
      </c>
      <c r="B471" s="25">
        <v>1</v>
      </c>
      <c r="C471" s="25">
        <v>34</v>
      </c>
      <c r="D471" s="24" t="s">
        <v>31</v>
      </c>
      <c r="E471" s="24" t="s">
        <v>31</v>
      </c>
      <c r="F471" s="39">
        <v>24</v>
      </c>
      <c r="G471" s="25">
        <v>24</v>
      </c>
      <c r="H471">
        <f>IF(F471=G471,1,0)</f>
        <v>1</v>
      </c>
    </row>
    <row r="472" spans="1:8" ht="15.75" x14ac:dyDescent="0.25">
      <c r="A472" s="24" t="s">
        <v>279</v>
      </c>
      <c r="B472" s="25">
        <v>1</v>
      </c>
      <c r="C472" s="25">
        <v>0</v>
      </c>
      <c r="D472" s="27" t="s">
        <v>31</v>
      </c>
      <c r="E472" s="27" t="s">
        <v>31</v>
      </c>
      <c r="F472" s="39">
        <v>5</v>
      </c>
      <c r="G472" s="25">
        <v>5</v>
      </c>
      <c r="H472">
        <f>IF(F472=G472,1,0)</f>
        <v>1</v>
      </c>
    </row>
    <row r="473" spans="1:8" ht="15.75" x14ac:dyDescent="0.25">
      <c r="A473" s="24" t="s">
        <v>325</v>
      </c>
      <c r="B473" s="25">
        <v>1</v>
      </c>
      <c r="C473" s="25">
        <v>34</v>
      </c>
      <c r="D473" s="24" t="s">
        <v>31</v>
      </c>
      <c r="E473" s="24" t="s">
        <v>31</v>
      </c>
      <c r="F473" s="39">
        <v>24</v>
      </c>
      <c r="G473" s="25">
        <v>24</v>
      </c>
      <c r="H473">
        <f>IF(F473=G473,1,0)</f>
        <v>1</v>
      </c>
    </row>
    <row r="474" spans="1:8" ht="15.75" x14ac:dyDescent="0.25">
      <c r="A474" s="24" t="s">
        <v>325</v>
      </c>
      <c r="B474" s="25">
        <v>1</v>
      </c>
      <c r="C474" s="25">
        <v>0</v>
      </c>
      <c r="D474" s="27" t="s">
        <v>31</v>
      </c>
      <c r="E474" s="27" t="s">
        <v>31</v>
      </c>
      <c r="F474" s="39">
        <v>5</v>
      </c>
      <c r="G474" s="25">
        <v>5</v>
      </c>
      <c r="H474">
        <f>IF(F474=G474,1,0)</f>
        <v>1</v>
      </c>
    </row>
    <row r="475" spans="1:8" ht="15.75" x14ac:dyDescent="0.25">
      <c r="A475" s="24" t="s">
        <v>328</v>
      </c>
      <c r="B475" s="25">
        <v>1</v>
      </c>
      <c r="C475" s="25">
        <v>21.7</v>
      </c>
      <c r="D475" s="24" t="s">
        <v>31</v>
      </c>
      <c r="E475" s="24" t="s">
        <v>31</v>
      </c>
      <c r="F475" s="39">
        <v>24</v>
      </c>
      <c r="G475" s="25">
        <v>24</v>
      </c>
      <c r="H475">
        <f>IF(F475=G475,1,0)</f>
        <v>1</v>
      </c>
    </row>
    <row r="476" spans="1:8" ht="15.75" x14ac:dyDescent="0.25">
      <c r="A476" s="24" t="s">
        <v>331</v>
      </c>
      <c r="B476" s="25">
        <v>1</v>
      </c>
      <c r="C476" s="25">
        <v>12.33</v>
      </c>
      <c r="D476" s="24" t="s">
        <v>31</v>
      </c>
      <c r="E476" s="24" t="s">
        <v>31</v>
      </c>
      <c r="F476" s="39">
        <v>24</v>
      </c>
      <c r="G476" s="25">
        <v>24</v>
      </c>
      <c r="H476">
        <f>IF(F476=G476,1,0)</f>
        <v>1</v>
      </c>
    </row>
    <row r="477" spans="1:8" ht="15.75" x14ac:dyDescent="0.25">
      <c r="A477" s="24" t="s">
        <v>334</v>
      </c>
      <c r="B477" s="25">
        <v>1</v>
      </c>
      <c r="C477" s="25">
        <v>7.91</v>
      </c>
      <c r="D477" s="24" t="s">
        <v>31</v>
      </c>
      <c r="E477" s="24" t="s">
        <v>31</v>
      </c>
      <c r="F477" s="39">
        <v>24</v>
      </c>
      <c r="G477" s="25">
        <v>24</v>
      </c>
      <c r="H477">
        <f>IF(F477=G477,1,0)</f>
        <v>1</v>
      </c>
    </row>
    <row r="478" spans="1:8" ht="15.75" x14ac:dyDescent="0.25">
      <c r="A478" s="24" t="s">
        <v>337</v>
      </c>
      <c r="B478" s="25">
        <v>2</v>
      </c>
      <c r="C478" s="25">
        <v>15.69</v>
      </c>
      <c r="D478" s="24" t="s">
        <v>31</v>
      </c>
      <c r="E478" s="24" t="s">
        <v>31</v>
      </c>
      <c r="F478" s="39">
        <v>48</v>
      </c>
      <c r="G478" s="25">
        <v>48</v>
      </c>
      <c r="H478">
        <f>IF(F478=G478,1,0)</f>
        <v>1</v>
      </c>
    </row>
    <row r="479" spans="1:8" ht="15.75" x14ac:dyDescent="0.25">
      <c r="A479" s="24" t="s">
        <v>340</v>
      </c>
      <c r="B479" s="25">
        <v>1</v>
      </c>
      <c r="C479" s="25">
        <v>12.67</v>
      </c>
      <c r="D479" s="24" t="s">
        <v>31</v>
      </c>
      <c r="E479" s="24" t="s">
        <v>31</v>
      </c>
      <c r="F479" s="39">
        <v>24</v>
      </c>
      <c r="G479" s="25">
        <v>24</v>
      </c>
      <c r="H479">
        <f>IF(F479=G479,1,0)</f>
        <v>1</v>
      </c>
    </row>
    <row r="480" spans="1:8" ht="15.75" x14ac:dyDescent="0.25">
      <c r="A480" s="24" t="s">
        <v>343</v>
      </c>
      <c r="B480" s="25">
        <v>1</v>
      </c>
      <c r="C480" s="25">
        <v>12.67</v>
      </c>
      <c r="D480" s="24" t="s">
        <v>31</v>
      </c>
      <c r="E480" s="24" t="s">
        <v>31</v>
      </c>
      <c r="F480" s="39">
        <v>24</v>
      </c>
      <c r="G480" s="25">
        <v>24</v>
      </c>
      <c r="H480">
        <f>IF(F480=G480,1,0)</f>
        <v>1</v>
      </c>
    </row>
    <row r="481" spans="1:8" ht="15.75" x14ac:dyDescent="0.25">
      <c r="A481" s="24" t="s">
        <v>346</v>
      </c>
      <c r="B481" s="25">
        <v>1</v>
      </c>
      <c r="C481" s="25">
        <v>15</v>
      </c>
      <c r="D481" s="24" t="s">
        <v>31</v>
      </c>
      <c r="E481" s="24" t="s">
        <v>31</v>
      </c>
      <c r="F481" s="39">
        <v>24</v>
      </c>
      <c r="G481" s="25">
        <v>24</v>
      </c>
      <c r="H481">
        <f>IF(F481=G481,1,0)</f>
        <v>1</v>
      </c>
    </row>
    <row r="482" spans="1:8" ht="15.75" x14ac:dyDescent="0.25">
      <c r="A482" s="24" t="s">
        <v>349</v>
      </c>
      <c r="B482" s="25">
        <v>1</v>
      </c>
      <c r="C482" s="25">
        <v>15</v>
      </c>
      <c r="D482" s="24" t="s">
        <v>31</v>
      </c>
      <c r="E482" s="24" t="s">
        <v>31</v>
      </c>
      <c r="F482" s="39">
        <v>24</v>
      </c>
      <c r="G482" s="25">
        <v>24</v>
      </c>
      <c r="H482">
        <f>IF(F482=G482,1,0)</f>
        <v>1</v>
      </c>
    </row>
    <row r="483" spans="1:8" ht="15.75" x14ac:dyDescent="0.25">
      <c r="A483" s="24" t="s">
        <v>352</v>
      </c>
      <c r="B483" s="25">
        <v>2</v>
      </c>
      <c r="C483" s="25">
        <v>21</v>
      </c>
      <c r="D483" s="24" t="s">
        <v>31</v>
      </c>
      <c r="E483" s="24" t="s">
        <v>31</v>
      </c>
      <c r="F483" s="39">
        <v>48</v>
      </c>
      <c r="G483" s="25">
        <v>48</v>
      </c>
      <c r="H483">
        <f>IF(F483=G483,1,0)</f>
        <v>1</v>
      </c>
    </row>
    <row r="484" spans="1:8" ht="15.75" x14ac:dyDescent="0.25">
      <c r="A484" s="24" t="s">
        <v>355</v>
      </c>
      <c r="B484" s="25">
        <v>1</v>
      </c>
      <c r="C484" s="25">
        <v>17.600000000000001</v>
      </c>
      <c r="D484" s="24" t="s">
        <v>31</v>
      </c>
      <c r="E484" s="24" t="s">
        <v>31</v>
      </c>
      <c r="F484" s="39">
        <v>24</v>
      </c>
      <c r="G484" s="25">
        <v>24</v>
      </c>
      <c r="H484">
        <f>IF(F484=G484,1,0)</f>
        <v>1</v>
      </c>
    </row>
    <row r="485" spans="1:8" ht="15.75" x14ac:dyDescent="0.25">
      <c r="A485" s="24" t="s">
        <v>358</v>
      </c>
      <c r="B485" s="25">
        <v>1</v>
      </c>
      <c r="C485" s="25">
        <v>13.15</v>
      </c>
      <c r="D485" s="24" t="s">
        <v>31</v>
      </c>
      <c r="E485" s="24" t="s">
        <v>31</v>
      </c>
      <c r="F485" s="39">
        <v>24</v>
      </c>
      <c r="G485" s="25">
        <v>24</v>
      </c>
      <c r="H485">
        <f>IF(F485=G485,1,0)</f>
        <v>1</v>
      </c>
    </row>
    <row r="486" spans="1:8" ht="15.75" x14ac:dyDescent="0.25">
      <c r="A486" s="24" t="s">
        <v>360</v>
      </c>
      <c r="B486" s="25">
        <v>2</v>
      </c>
      <c r="C486" s="25">
        <v>14.4</v>
      </c>
      <c r="D486" s="24" t="s">
        <v>31</v>
      </c>
      <c r="E486" s="24" t="s">
        <v>31</v>
      </c>
      <c r="F486" s="39">
        <v>48</v>
      </c>
      <c r="G486" s="25">
        <v>48</v>
      </c>
      <c r="H486">
        <f>IF(F486=G486,1,0)</f>
        <v>1</v>
      </c>
    </row>
    <row r="487" spans="1:8" ht="15.75" x14ac:dyDescent="0.25">
      <c r="A487" s="24" t="s">
        <v>363</v>
      </c>
      <c r="B487" s="25">
        <v>1</v>
      </c>
      <c r="C487" s="25">
        <v>9.5</v>
      </c>
      <c r="D487" s="24" t="s">
        <v>31</v>
      </c>
      <c r="E487" s="24" t="s">
        <v>31</v>
      </c>
      <c r="F487" s="39">
        <v>24</v>
      </c>
      <c r="G487" s="25">
        <v>24</v>
      </c>
      <c r="H487">
        <f>IF(F487=G487,1,0)</f>
        <v>1</v>
      </c>
    </row>
    <row r="488" spans="1:8" ht="15.75" x14ac:dyDescent="0.25">
      <c r="A488" s="24" t="s">
        <v>366</v>
      </c>
      <c r="B488" s="25">
        <v>1</v>
      </c>
      <c r="C488" s="25">
        <v>16</v>
      </c>
      <c r="D488" s="24" t="s">
        <v>31</v>
      </c>
      <c r="E488" s="24" t="s">
        <v>31</v>
      </c>
      <c r="F488" s="39">
        <v>24</v>
      </c>
      <c r="G488" s="25">
        <v>24</v>
      </c>
      <c r="H488">
        <f>IF(F488=G488,1,0)</f>
        <v>1</v>
      </c>
    </row>
    <row r="489" spans="1:8" ht="15.75" x14ac:dyDescent="0.25">
      <c r="A489" s="24" t="s">
        <v>363</v>
      </c>
      <c r="B489" s="25">
        <v>1</v>
      </c>
      <c r="C489" s="25">
        <v>9.5</v>
      </c>
      <c r="D489" s="24" t="s">
        <v>31</v>
      </c>
      <c r="E489" s="24" t="s">
        <v>31</v>
      </c>
      <c r="F489" s="39">
        <v>24</v>
      </c>
      <c r="G489" s="25">
        <v>24</v>
      </c>
      <c r="H489">
        <f>IF(F489=G489,1,0)</f>
        <v>1</v>
      </c>
    </row>
    <row r="490" spans="1:8" ht="15.75" x14ac:dyDescent="0.25">
      <c r="A490" s="24" t="s">
        <v>369</v>
      </c>
      <c r="B490" s="25">
        <v>2</v>
      </c>
      <c r="C490" s="25">
        <v>17.850000000000001</v>
      </c>
      <c r="D490" s="24" t="s">
        <v>31</v>
      </c>
      <c r="E490" s="24" t="s">
        <v>31</v>
      </c>
      <c r="F490" s="39">
        <v>48</v>
      </c>
      <c r="G490" s="25">
        <v>48</v>
      </c>
      <c r="H490">
        <f>IF(F490=G490,1,0)</f>
        <v>1</v>
      </c>
    </row>
    <row r="491" spans="1:8" ht="15.75" x14ac:dyDescent="0.25">
      <c r="A491" s="24" t="s">
        <v>371</v>
      </c>
      <c r="B491" s="25">
        <v>3</v>
      </c>
      <c r="C491" s="25">
        <v>31.4</v>
      </c>
      <c r="D491" s="24" t="s">
        <v>31</v>
      </c>
      <c r="E491" s="24" t="s">
        <v>31</v>
      </c>
      <c r="F491" s="39">
        <v>72</v>
      </c>
      <c r="G491" s="25">
        <v>72</v>
      </c>
      <c r="H491">
        <f>IF(F491=G491,1,0)</f>
        <v>1</v>
      </c>
    </row>
    <row r="492" spans="1:8" ht="15.75" x14ac:dyDescent="0.25">
      <c r="A492" s="24" t="s">
        <v>373</v>
      </c>
      <c r="B492" s="25">
        <v>1</v>
      </c>
      <c r="C492" s="25">
        <v>8.1999999999999993</v>
      </c>
      <c r="D492" s="24" t="s">
        <v>31</v>
      </c>
      <c r="E492" s="24" t="s">
        <v>31</v>
      </c>
      <c r="F492" s="39">
        <v>24</v>
      </c>
      <c r="G492" s="25">
        <v>24</v>
      </c>
      <c r="H492">
        <f>IF(F492=G492,1,0)</f>
        <v>1</v>
      </c>
    </row>
    <row r="493" spans="1:8" ht="15.75" x14ac:dyDescent="0.25">
      <c r="A493" s="24" t="s">
        <v>376</v>
      </c>
      <c r="B493" s="25">
        <v>5</v>
      </c>
      <c r="C493" s="25">
        <v>48.8</v>
      </c>
      <c r="D493" s="24" t="s">
        <v>31</v>
      </c>
      <c r="E493" s="24" t="s">
        <v>31</v>
      </c>
      <c r="F493" s="39">
        <v>120</v>
      </c>
      <c r="G493" s="25">
        <v>120</v>
      </c>
      <c r="H493">
        <f>IF(F493=G493,1,0)</f>
        <v>1</v>
      </c>
    </row>
    <row r="494" spans="1:8" ht="15.75" x14ac:dyDescent="0.25">
      <c r="A494" s="24" t="s">
        <v>379</v>
      </c>
      <c r="B494" s="25">
        <v>1</v>
      </c>
      <c r="C494" s="25">
        <v>13.33</v>
      </c>
      <c r="D494" s="24" t="s">
        <v>31</v>
      </c>
      <c r="E494" s="24" t="s">
        <v>31</v>
      </c>
      <c r="F494" s="39">
        <v>24</v>
      </c>
      <c r="G494" s="25">
        <v>24</v>
      </c>
      <c r="H494">
        <f>IF(F494=G494,1,0)</f>
        <v>1</v>
      </c>
    </row>
    <row r="495" spans="1:8" ht="15.75" x14ac:dyDescent="0.25">
      <c r="A495" s="24" t="s">
        <v>382</v>
      </c>
      <c r="B495" s="25">
        <v>1</v>
      </c>
      <c r="C495" s="25">
        <v>15.8</v>
      </c>
      <c r="D495" s="24" t="s">
        <v>31</v>
      </c>
      <c r="E495" s="24" t="s">
        <v>31</v>
      </c>
      <c r="F495" s="39">
        <v>24</v>
      </c>
      <c r="G495" s="25">
        <v>24</v>
      </c>
      <c r="H495">
        <f>IF(F495=G495,1,0)</f>
        <v>1</v>
      </c>
    </row>
    <row r="496" spans="1:8" ht="15.75" x14ac:dyDescent="0.25">
      <c r="A496" s="24" t="s">
        <v>385</v>
      </c>
      <c r="B496" s="25">
        <v>1</v>
      </c>
      <c r="C496" s="25">
        <v>8.1999999999999993</v>
      </c>
      <c r="D496" s="24" t="s">
        <v>31</v>
      </c>
      <c r="E496" s="24" t="s">
        <v>31</v>
      </c>
      <c r="F496" s="39">
        <v>24</v>
      </c>
      <c r="G496" s="25">
        <v>24</v>
      </c>
      <c r="H496">
        <f>IF(F496=G496,1,0)</f>
        <v>1</v>
      </c>
    </row>
    <row r="497" spans="1:8" ht="15.75" x14ac:dyDescent="0.25">
      <c r="A497" s="24" t="s">
        <v>388</v>
      </c>
      <c r="B497" s="25">
        <v>1</v>
      </c>
      <c r="C497" s="25">
        <v>8</v>
      </c>
      <c r="D497" s="24" t="s">
        <v>31</v>
      </c>
      <c r="E497" s="24" t="s">
        <v>31</v>
      </c>
      <c r="F497" s="39">
        <v>24</v>
      </c>
      <c r="G497" s="25">
        <v>24</v>
      </c>
      <c r="H497">
        <f>IF(F497=G497,1,0)</f>
        <v>1</v>
      </c>
    </row>
    <row r="498" spans="1:8" ht="15.75" x14ac:dyDescent="0.25">
      <c r="A498" s="24" t="s">
        <v>390</v>
      </c>
      <c r="B498" s="25">
        <v>1</v>
      </c>
      <c r="C498" s="25">
        <v>8.6</v>
      </c>
      <c r="D498" s="24" t="s">
        <v>31</v>
      </c>
      <c r="E498" s="24" t="s">
        <v>31</v>
      </c>
      <c r="F498" s="39">
        <v>24</v>
      </c>
      <c r="G498" s="25">
        <v>24</v>
      </c>
      <c r="H498">
        <f>IF(F498=G498,1,0)</f>
        <v>1</v>
      </c>
    </row>
    <row r="499" spans="1:8" ht="15.75" x14ac:dyDescent="0.25">
      <c r="A499" s="24" t="s">
        <v>393</v>
      </c>
      <c r="B499" s="25">
        <v>4</v>
      </c>
      <c r="C499" s="25">
        <v>51.32</v>
      </c>
      <c r="D499" s="24" t="s">
        <v>31</v>
      </c>
      <c r="E499" s="24" t="s">
        <v>31</v>
      </c>
      <c r="F499" s="39">
        <v>96</v>
      </c>
      <c r="G499" s="25">
        <v>96</v>
      </c>
      <c r="H499">
        <f>IF(F499=G499,1,0)</f>
        <v>1</v>
      </c>
    </row>
    <row r="500" spans="1:8" ht="15.75" x14ac:dyDescent="0.25">
      <c r="A500" s="24" t="s">
        <v>396</v>
      </c>
      <c r="B500" s="25">
        <v>1</v>
      </c>
      <c r="C500" s="25">
        <v>16</v>
      </c>
      <c r="D500" s="24" t="s">
        <v>31</v>
      </c>
      <c r="E500" s="24" t="s">
        <v>31</v>
      </c>
      <c r="F500" s="39">
        <v>24</v>
      </c>
      <c r="G500" s="25">
        <v>24</v>
      </c>
      <c r="H500">
        <f>IF(F500=G500,1,0)</f>
        <v>1</v>
      </c>
    </row>
    <row r="501" spans="1:8" ht="15.75" x14ac:dyDescent="0.25">
      <c r="A501" s="24" t="s">
        <v>399</v>
      </c>
      <c r="B501" s="25">
        <v>1</v>
      </c>
      <c r="C501" s="25">
        <v>31.6</v>
      </c>
      <c r="D501" s="24" t="s">
        <v>31</v>
      </c>
      <c r="E501" s="24" t="s">
        <v>31</v>
      </c>
      <c r="F501" s="39">
        <v>60</v>
      </c>
      <c r="G501" s="25">
        <v>60</v>
      </c>
      <c r="H501">
        <f>IF(F501=G501,1,0)</f>
        <v>1</v>
      </c>
    </row>
    <row r="502" spans="1:8" ht="15.75" x14ac:dyDescent="0.25">
      <c r="A502" s="24" t="s">
        <v>399</v>
      </c>
      <c r="B502" s="25">
        <v>1</v>
      </c>
      <c r="C502" s="25">
        <v>0</v>
      </c>
      <c r="D502" s="27" t="s">
        <v>31</v>
      </c>
      <c r="E502" s="27" t="s">
        <v>31</v>
      </c>
      <c r="F502" s="39">
        <v>5</v>
      </c>
      <c r="G502" s="25">
        <v>5</v>
      </c>
      <c r="H502">
        <f>IF(F502=G502,1,0)</f>
        <v>1</v>
      </c>
    </row>
    <row r="503" spans="1:8" ht="15.75" x14ac:dyDescent="0.25">
      <c r="A503" s="24" t="s">
        <v>401</v>
      </c>
      <c r="B503" s="25">
        <v>2</v>
      </c>
      <c r="C503" s="25">
        <v>6.2</v>
      </c>
      <c r="D503" s="27" t="s">
        <v>31</v>
      </c>
      <c r="E503" s="27" t="s">
        <v>31</v>
      </c>
      <c r="F503" s="39">
        <v>10</v>
      </c>
      <c r="G503" s="25">
        <v>10</v>
      </c>
      <c r="H503">
        <f>IF(F503=G503,1,0)</f>
        <v>1</v>
      </c>
    </row>
    <row r="504" spans="1:8" ht="15.75" x14ac:dyDescent="0.25">
      <c r="A504" s="24" t="s">
        <v>404</v>
      </c>
      <c r="B504" s="25">
        <v>1</v>
      </c>
      <c r="C504" s="25">
        <v>20.3</v>
      </c>
      <c r="D504" s="24" t="s">
        <v>31</v>
      </c>
      <c r="E504" s="24" t="s">
        <v>31</v>
      </c>
      <c r="F504" s="39">
        <v>24</v>
      </c>
      <c r="G504" s="25">
        <v>24</v>
      </c>
      <c r="H504">
        <f>IF(F504=G504,1,0)</f>
        <v>1</v>
      </c>
    </row>
    <row r="505" spans="1:8" ht="15.75" x14ac:dyDescent="0.25">
      <c r="A505" s="24" t="s">
        <v>407</v>
      </c>
      <c r="B505" s="25">
        <v>1</v>
      </c>
      <c r="C505" s="25">
        <v>12.09</v>
      </c>
      <c r="D505" s="24" t="s">
        <v>31</v>
      </c>
      <c r="E505" s="24" t="s">
        <v>31</v>
      </c>
      <c r="F505" s="39">
        <v>24</v>
      </c>
      <c r="G505" s="25">
        <v>24</v>
      </c>
      <c r="H505">
        <f>IF(F505=G505,1,0)</f>
        <v>1</v>
      </c>
    </row>
    <row r="506" spans="1:8" ht="15.75" x14ac:dyDescent="0.25">
      <c r="A506" s="24" t="s">
        <v>410</v>
      </c>
      <c r="B506" s="25">
        <v>1</v>
      </c>
      <c r="C506" s="25">
        <v>13.2</v>
      </c>
      <c r="D506" s="24" t="s">
        <v>31</v>
      </c>
      <c r="E506" s="24" t="s">
        <v>31</v>
      </c>
      <c r="F506" s="39">
        <v>24</v>
      </c>
      <c r="G506" s="25">
        <v>24</v>
      </c>
      <c r="H506">
        <f>IF(F506=G506,1,0)</f>
        <v>1</v>
      </c>
    </row>
    <row r="507" spans="1:8" ht="15.75" x14ac:dyDescent="0.25">
      <c r="A507" s="24" t="s">
        <v>413</v>
      </c>
      <c r="B507" s="25">
        <v>1</v>
      </c>
      <c r="C507" s="25">
        <v>3.03</v>
      </c>
      <c r="D507" s="24" t="s">
        <v>31</v>
      </c>
      <c r="E507" s="24" t="s">
        <v>31</v>
      </c>
      <c r="F507" s="39">
        <v>24</v>
      </c>
      <c r="G507" s="25">
        <v>24</v>
      </c>
      <c r="H507">
        <f>IF(F507=G507,1,0)</f>
        <v>1</v>
      </c>
    </row>
    <row r="508" spans="1:8" ht="15.75" x14ac:dyDescent="0.25">
      <c r="A508" s="24" t="s">
        <v>416</v>
      </c>
      <c r="B508" s="25">
        <v>1</v>
      </c>
      <c r="C508" s="25">
        <v>25.47</v>
      </c>
      <c r="D508" s="24" t="s">
        <v>31</v>
      </c>
      <c r="E508" s="24" t="s">
        <v>31</v>
      </c>
      <c r="F508" s="39">
        <v>24</v>
      </c>
      <c r="G508" s="25">
        <v>24</v>
      </c>
      <c r="H508">
        <f>IF(F508=G508,1,0)</f>
        <v>1</v>
      </c>
    </row>
    <row r="509" spans="1:8" ht="15.75" x14ac:dyDescent="0.25">
      <c r="A509" s="24" t="s">
        <v>419</v>
      </c>
      <c r="B509" s="25">
        <v>1</v>
      </c>
      <c r="C509" s="25">
        <v>13.62</v>
      </c>
      <c r="D509" s="24" t="s">
        <v>31</v>
      </c>
      <c r="E509" s="24" t="s">
        <v>31</v>
      </c>
      <c r="F509" s="39">
        <v>24</v>
      </c>
      <c r="G509" s="25">
        <v>24</v>
      </c>
      <c r="H509">
        <f>IF(F509=G509,1,0)</f>
        <v>1</v>
      </c>
    </row>
    <row r="510" spans="1:8" ht="15.75" x14ac:dyDescent="0.25">
      <c r="A510" s="24" t="s">
        <v>422</v>
      </c>
      <c r="B510" s="25">
        <v>1</v>
      </c>
      <c r="C510" s="25">
        <v>5.4</v>
      </c>
      <c r="D510" s="24" t="s">
        <v>31</v>
      </c>
      <c r="E510" s="24" t="s">
        <v>31</v>
      </c>
      <c r="F510" s="39">
        <v>24</v>
      </c>
      <c r="G510" s="25">
        <v>24</v>
      </c>
      <c r="H510">
        <f>IF(F510=G510,1,0)</f>
        <v>1</v>
      </c>
    </row>
    <row r="511" spans="1:8" ht="15.75" x14ac:dyDescent="0.25">
      <c r="A511" s="24" t="s">
        <v>424</v>
      </c>
      <c r="B511" s="25">
        <v>2</v>
      </c>
      <c r="C511" s="25">
        <v>19</v>
      </c>
      <c r="D511" s="24" t="s">
        <v>31</v>
      </c>
      <c r="E511" s="24" t="s">
        <v>31</v>
      </c>
      <c r="F511" s="39">
        <v>48</v>
      </c>
      <c r="G511" s="25">
        <v>48</v>
      </c>
      <c r="H511">
        <f>IF(F511=G511,1,0)</f>
        <v>1</v>
      </c>
    </row>
    <row r="512" spans="1:8" ht="15.75" x14ac:dyDescent="0.25">
      <c r="A512" s="24" t="s">
        <v>427</v>
      </c>
      <c r="B512" s="25">
        <v>1</v>
      </c>
      <c r="C512" s="25">
        <v>8</v>
      </c>
      <c r="D512" s="24" t="s">
        <v>31</v>
      </c>
      <c r="E512" s="24" t="s">
        <v>31</v>
      </c>
      <c r="F512" s="39">
        <v>24</v>
      </c>
      <c r="G512" s="25">
        <v>24</v>
      </c>
      <c r="H512">
        <f>IF(F512=G512,1,0)</f>
        <v>1</v>
      </c>
    </row>
    <row r="513" spans="1:8" ht="15.75" x14ac:dyDescent="0.25">
      <c r="A513" s="24" t="s">
        <v>430</v>
      </c>
      <c r="B513" s="25">
        <v>1</v>
      </c>
      <c r="C513" s="25">
        <v>2.78</v>
      </c>
      <c r="D513" s="24" t="s">
        <v>31</v>
      </c>
      <c r="E513" s="24" t="s">
        <v>31</v>
      </c>
      <c r="F513" s="39">
        <v>24</v>
      </c>
      <c r="G513" s="25">
        <v>24</v>
      </c>
      <c r="H513">
        <f>IF(F513=G513,1,0)</f>
        <v>1</v>
      </c>
    </row>
    <row r="514" spans="1:8" ht="15.75" x14ac:dyDescent="0.25">
      <c r="A514" s="24" t="s">
        <v>419</v>
      </c>
      <c r="B514" s="25">
        <v>1</v>
      </c>
      <c r="C514" s="25">
        <v>16.46</v>
      </c>
      <c r="D514" s="24" t="s">
        <v>31</v>
      </c>
      <c r="E514" s="24" t="s">
        <v>31</v>
      </c>
      <c r="F514" s="39">
        <v>24</v>
      </c>
      <c r="G514" s="25">
        <v>24</v>
      </c>
      <c r="H514">
        <f>IF(F514=G514,1,0)</f>
        <v>1</v>
      </c>
    </row>
    <row r="515" spans="1:8" ht="15.75" x14ac:dyDescent="0.25">
      <c r="A515" s="24" t="s">
        <v>419</v>
      </c>
      <c r="B515" s="25">
        <v>1</v>
      </c>
      <c r="C515" s="25">
        <v>16.54</v>
      </c>
      <c r="D515" s="24" t="s">
        <v>31</v>
      </c>
      <c r="E515" s="24" t="s">
        <v>31</v>
      </c>
      <c r="F515" s="39">
        <v>24</v>
      </c>
      <c r="G515" s="25">
        <v>24</v>
      </c>
      <c r="H515">
        <f>IF(F515=G515,1,0)</f>
        <v>1</v>
      </c>
    </row>
    <row r="516" spans="1:8" ht="15.75" x14ac:dyDescent="0.25">
      <c r="A516" s="24" t="s">
        <v>436</v>
      </c>
      <c r="B516" s="25">
        <v>1</v>
      </c>
      <c r="C516" s="25">
        <v>8.9</v>
      </c>
      <c r="D516" s="24" t="s">
        <v>31</v>
      </c>
      <c r="E516" s="24" t="s">
        <v>31</v>
      </c>
      <c r="F516" s="39">
        <v>24</v>
      </c>
      <c r="G516" s="25">
        <v>24</v>
      </c>
      <c r="H516">
        <f>IF(F516=G516,1,0)</f>
        <v>1</v>
      </c>
    </row>
    <row r="517" spans="1:8" ht="15.75" x14ac:dyDescent="0.25">
      <c r="A517" s="24" t="s">
        <v>439</v>
      </c>
      <c r="B517" s="25">
        <v>1</v>
      </c>
      <c r="C517" s="25">
        <v>7.2</v>
      </c>
      <c r="D517" s="24" t="s">
        <v>31</v>
      </c>
      <c r="E517" s="24" t="s">
        <v>31</v>
      </c>
      <c r="F517" s="39">
        <v>24</v>
      </c>
      <c r="G517" s="25">
        <v>24</v>
      </c>
      <c r="H517">
        <f>IF(F517=G517,1,0)</f>
        <v>1</v>
      </c>
    </row>
    <row r="518" spans="1:8" ht="15.75" x14ac:dyDescent="0.25">
      <c r="A518" s="24" t="s">
        <v>442</v>
      </c>
      <c r="B518" s="25">
        <v>1</v>
      </c>
      <c r="C518" s="25">
        <v>16.8</v>
      </c>
      <c r="D518" s="24" t="s">
        <v>31</v>
      </c>
      <c r="E518" s="24" t="s">
        <v>31</v>
      </c>
      <c r="F518" s="39">
        <v>24</v>
      </c>
      <c r="G518" s="25">
        <v>24</v>
      </c>
      <c r="H518">
        <f>IF(F518=G518,1,0)</f>
        <v>1</v>
      </c>
    </row>
    <row r="519" spans="1:8" ht="15.75" x14ac:dyDescent="0.25">
      <c r="A519" s="24" t="s">
        <v>445</v>
      </c>
      <c r="B519" s="25">
        <v>1</v>
      </c>
      <c r="C519" s="25">
        <v>26</v>
      </c>
      <c r="D519" s="24" t="s">
        <v>31</v>
      </c>
      <c r="E519" s="24" t="s">
        <v>31</v>
      </c>
      <c r="F519" s="39">
        <v>24</v>
      </c>
      <c r="G519" s="25">
        <v>24</v>
      </c>
      <c r="H519">
        <f>IF(F519=G519,1,0)</f>
        <v>1</v>
      </c>
    </row>
    <row r="520" spans="1:8" ht="15.75" x14ac:dyDescent="0.25">
      <c r="A520" s="24" t="s">
        <v>448</v>
      </c>
      <c r="B520" s="25">
        <v>1</v>
      </c>
      <c r="C520" s="25">
        <v>0.245</v>
      </c>
      <c r="D520" s="27" t="s">
        <v>31</v>
      </c>
      <c r="E520" s="27" t="s">
        <v>31</v>
      </c>
      <c r="F520" s="39">
        <v>5</v>
      </c>
      <c r="G520" s="25">
        <v>5</v>
      </c>
      <c r="H520">
        <f>IF(F520=G520,1,0)</f>
        <v>1</v>
      </c>
    </row>
    <row r="521" spans="1:8" ht="15.75" x14ac:dyDescent="0.25">
      <c r="A521" s="24" t="s">
        <v>450</v>
      </c>
      <c r="B521" s="25">
        <v>1</v>
      </c>
      <c r="C521" s="25">
        <v>13.94</v>
      </c>
      <c r="D521" s="24" t="s">
        <v>31</v>
      </c>
      <c r="E521" s="24" t="s">
        <v>31</v>
      </c>
      <c r="F521" s="39">
        <v>24</v>
      </c>
      <c r="G521" s="25">
        <v>24</v>
      </c>
      <c r="H521">
        <f>IF(F521=G521,1,0)</f>
        <v>1</v>
      </c>
    </row>
    <row r="522" spans="1:8" ht="15.75" x14ac:dyDescent="0.25">
      <c r="A522" s="24" t="s">
        <v>453</v>
      </c>
      <c r="B522" s="25">
        <v>1</v>
      </c>
      <c r="C522" s="25">
        <v>13.42</v>
      </c>
      <c r="D522" s="24" t="s">
        <v>31</v>
      </c>
      <c r="E522" s="24" t="s">
        <v>31</v>
      </c>
      <c r="F522" s="39">
        <v>24</v>
      </c>
      <c r="G522" s="25">
        <v>24</v>
      </c>
      <c r="H522">
        <f>IF(F522=G522,1,0)</f>
        <v>1</v>
      </c>
    </row>
    <row r="523" spans="1:8" ht="15.75" x14ac:dyDescent="0.25">
      <c r="A523" s="24" t="s">
        <v>456</v>
      </c>
      <c r="B523" s="25">
        <v>1</v>
      </c>
      <c r="C523" s="25">
        <v>2.4900000000000002</v>
      </c>
      <c r="D523" s="24" t="s">
        <v>31</v>
      </c>
      <c r="E523" s="24" t="s">
        <v>31</v>
      </c>
      <c r="F523" s="39">
        <v>24</v>
      </c>
      <c r="G523" s="25">
        <v>24</v>
      </c>
      <c r="H523">
        <f>IF(F523=G523,1,0)</f>
        <v>1</v>
      </c>
    </row>
    <row r="524" spans="1:8" ht="15.75" x14ac:dyDescent="0.25">
      <c r="A524" s="24" t="s">
        <v>458</v>
      </c>
      <c r="B524" s="25">
        <v>1</v>
      </c>
      <c r="C524" s="25">
        <v>12.67</v>
      </c>
      <c r="D524" s="24" t="s">
        <v>31</v>
      </c>
      <c r="E524" s="24" t="s">
        <v>31</v>
      </c>
      <c r="F524" s="39">
        <v>24</v>
      </c>
      <c r="G524" s="25">
        <v>24</v>
      </c>
      <c r="H524">
        <f>IF(F524=G524,1,0)</f>
        <v>1</v>
      </c>
    </row>
    <row r="525" spans="1:8" ht="15.75" x14ac:dyDescent="0.25">
      <c r="A525" s="24" t="s">
        <v>463</v>
      </c>
      <c r="B525" s="25">
        <v>2</v>
      </c>
      <c r="C525" s="25">
        <v>18</v>
      </c>
      <c r="D525" s="24" t="s">
        <v>31</v>
      </c>
      <c r="E525" s="24" t="s">
        <v>31</v>
      </c>
      <c r="F525" s="39">
        <v>48</v>
      </c>
      <c r="G525" s="25">
        <v>48</v>
      </c>
      <c r="H525">
        <f>IF(F525=G525,1,0)</f>
        <v>1</v>
      </c>
    </row>
    <row r="526" spans="1:8" ht="15.75" x14ac:dyDescent="0.25">
      <c r="A526" s="24" t="s">
        <v>466</v>
      </c>
      <c r="B526" s="25">
        <v>1</v>
      </c>
      <c r="C526" s="25">
        <v>3.97</v>
      </c>
      <c r="D526" s="24" t="s">
        <v>31</v>
      </c>
      <c r="E526" s="24" t="s">
        <v>31</v>
      </c>
      <c r="F526" s="39">
        <v>24</v>
      </c>
      <c r="G526" s="25">
        <v>24</v>
      </c>
      <c r="H526">
        <f>IF(F526=G526,1,0)</f>
        <v>1</v>
      </c>
    </row>
    <row r="527" spans="1:8" ht="15.75" x14ac:dyDescent="0.25">
      <c r="A527" s="24" t="s">
        <v>466</v>
      </c>
      <c r="B527" s="25">
        <v>1</v>
      </c>
      <c r="C527" s="25">
        <v>0</v>
      </c>
      <c r="D527" s="27" t="s">
        <v>31</v>
      </c>
      <c r="E527" s="27" t="s">
        <v>31</v>
      </c>
      <c r="F527" s="39">
        <v>5</v>
      </c>
      <c r="G527" s="25">
        <v>5</v>
      </c>
      <c r="H527">
        <f>IF(F527=G527,1,0)</f>
        <v>1</v>
      </c>
    </row>
    <row r="528" spans="1:8" ht="15.75" x14ac:dyDescent="0.25">
      <c r="A528" s="24" t="s">
        <v>469</v>
      </c>
      <c r="B528" s="25">
        <v>1</v>
      </c>
      <c r="C528" s="25">
        <v>26</v>
      </c>
      <c r="D528" s="24" t="s">
        <v>31</v>
      </c>
      <c r="E528" s="24" t="s">
        <v>31</v>
      </c>
      <c r="F528" s="39">
        <v>24</v>
      </c>
      <c r="G528" s="25">
        <v>24</v>
      </c>
      <c r="H528">
        <f>IF(F528=G528,1,0)</f>
        <v>1</v>
      </c>
    </row>
    <row r="529" spans="1:8" ht="15.75" x14ac:dyDescent="0.25">
      <c r="A529" s="24" t="s">
        <v>472</v>
      </c>
      <c r="B529" s="25">
        <v>853</v>
      </c>
      <c r="C529" s="25">
        <v>971.13699999999994</v>
      </c>
      <c r="D529" s="28" t="s">
        <v>31</v>
      </c>
      <c r="E529" s="28" t="s">
        <v>31</v>
      </c>
      <c r="F529" s="39">
        <v>605.63</v>
      </c>
      <c r="G529" s="25">
        <v>605.63</v>
      </c>
      <c r="H529">
        <f>IF(F529=G529,1,0)</f>
        <v>1</v>
      </c>
    </row>
    <row r="530" spans="1:8" ht="15.75" x14ac:dyDescent="0.25">
      <c r="A530" s="24" t="s">
        <v>475</v>
      </c>
      <c r="B530" s="25">
        <v>1184</v>
      </c>
      <c r="C530" s="25">
        <v>953.20799999999997</v>
      </c>
      <c r="D530" s="28" t="s">
        <v>31</v>
      </c>
      <c r="E530" s="28" t="s">
        <v>31</v>
      </c>
      <c r="F530" s="39">
        <v>840.64</v>
      </c>
      <c r="G530" s="25">
        <v>840.64</v>
      </c>
      <c r="H530">
        <f>IF(F530=G530,1,0)</f>
        <v>1</v>
      </c>
    </row>
    <row r="531" spans="1:8" ht="15.75" x14ac:dyDescent="0.25">
      <c r="A531" s="24" t="s">
        <v>477</v>
      </c>
      <c r="B531" s="25">
        <v>163</v>
      </c>
      <c r="C531" s="25">
        <v>147.667</v>
      </c>
      <c r="D531" s="28" t="s">
        <v>31</v>
      </c>
      <c r="E531" s="28" t="s">
        <v>31</v>
      </c>
      <c r="F531" s="39">
        <v>115.72999999999999</v>
      </c>
      <c r="G531" s="25">
        <v>115.72999999999999</v>
      </c>
      <c r="H531">
        <f>IF(F531=G531,1,0)</f>
        <v>1</v>
      </c>
    </row>
    <row r="532" spans="1:8" ht="15.75" x14ac:dyDescent="0.25">
      <c r="A532" s="24" t="s">
        <v>480</v>
      </c>
      <c r="B532" s="25">
        <v>479</v>
      </c>
      <c r="C532" s="25">
        <v>787.50702000000001</v>
      </c>
      <c r="D532" s="28" t="s">
        <v>31</v>
      </c>
      <c r="E532" s="28" t="s">
        <v>31</v>
      </c>
      <c r="F532" s="39">
        <v>340.09</v>
      </c>
      <c r="G532" s="25">
        <v>340.09</v>
      </c>
      <c r="H532">
        <f>IF(F532=G532,1,0)</f>
        <v>1</v>
      </c>
    </row>
    <row r="533" spans="1:8" ht="15.75" x14ac:dyDescent="0.25">
      <c r="A533" s="24" t="s">
        <v>111</v>
      </c>
      <c r="B533" s="25">
        <v>578</v>
      </c>
      <c r="C533" s="25">
        <v>3517.76</v>
      </c>
      <c r="D533" s="30" t="s">
        <v>31</v>
      </c>
      <c r="E533" s="30" t="s">
        <v>31</v>
      </c>
      <c r="F533" s="39">
        <v>364.14</v>
      </c>
      <c r="G533" s="25">
        <v>364.14</v>
      </c>
      <c r="H533">
        <f>IF(F533=G533,1,0)</f>
        <v>1</v>
      </c>
    </row>
    <row r="534" spans="1:8" ht="15.75" x14ac:dyDescent="0.25">
      <c r="A534" s="24" t="s">
        <v>488</v>
      </c>
      <c r="B534" s="25">
        <v>77</v>
      </c>
      <c r="C534" s="25">
        <v>541.50699999999995</v>
      </c>
      <c r="D534" s="30" t="s">
        <v>31</v>
      </c>
      <c r="E534" s="30" t="s">
        <v>31</v>
      </c>
      <c r="F534" s="39">
        <v>48.51</v>
      </c>
      <c r="G534" s="25">
        <v>48.51</v>
      </c>
      <c r="H534">
        <f>IF(F534=G534,1,0)</f>
        <v>1</v>
      </c>
    </row>
    <row r="535" spans="1:8" ht="15.75" x14ac:dyDescent="0.25">
      <c r="A535" s="24" t="s">
        <v>491</v>
      </c>
      <c r="B535" s="25">
        <v>39</v>
      </c>
      <c r="C535" s="25">
        <v>260.21800000000002</v>
      </c>
      <c r="D535" s="30" t="s">
        <v>31</v>
      </c>
      <c r="E535" s="30" t="s">
        <v>31</v>
      </c>
      <c r="F535" s="39">
        <v>24.57</v>
      </c>
      <c r="G535" s="25">
        <v>24.57</v>
      </c>
      <c r="H535">
        <f>IF(F535=G535,1,0)</f>
        <v>1</v>
      </c>
    </row>
    <row r="536" spans="1:8" ht="15.75" x14ac:dyDescent="0.25">
      <c r="A536" s="24" t="s">
        <v>493</v>
      </c>
      <c r="B536" s="25">
        <v>126</v>
      </c>
      <c r="C536" s="25">
        <v>946.81399999999996</v>
      </c>
      <c r="D536" s="30" t="s">
        <v>31</v>
      </c>
      <c r="E536" s="30" t="s">
        <v>31</v>
      </c>
      <c r="F536" s="39">
        <v>79.38</v>
      </c>
      <c r="G536" s="25">
        <v>79.38</v>
      </c>
      <c r="H536">
        <f>IF(F536=G536,1,0)</f>
        <v>1</v>
      </c>
    </row>
    <row r="537" spans="1:8" ht="15.75" x14ac:dyDescent="0.25">
      <c r="A537" s="24" t="s">
        <v>491</v>
      </c>
      <c r="B537" s="25">
        <v>33</v>
      </c>
      <c r="C537" s="25">
        <v>258.06799999999998</v>
      </c>
      <c r="D537" s="30" t="s">
        <v>31</v>
      </c>
      <c r="E537" s="30" t="s">
        <v>31</v>
      </c>
      <c r="F537" s="39">
        <v>20.79</v>
      </c>
      <c r="G537" s="25">
        <v>20.79</v>
      </c>
      <c r="H537">
        <f>IF(F537=G537,1,0)</f>
        <v>1</v>
      </c>
    </row>
    <row r="538" spans="1:8" ht="15.75" x14ac:dyDescent="0.25">
      <c r="A538" s="24" t="s">
        <v>497</v>
      </c>
      <c r="B538" s="25">
        <v>290</v>
      </c>
      <c r="C538" s="25">
        <v>1660.7760000000001</v>
      </c>
      <c r="D538" s="30" t="s">
        <v>31</v>
      </c>
      <c r="E538" s="30" t="s">
        <v>31</v>
      </c>
      <c r="F538" s="39">
        <v>182.7</v>
      </c>
      <c r="G538" s="25">
        <v>182.7</v>
      </c>
      <c r="H538">
        <f>IF(F538=G538,1,0)</f>
        <v>1</v>
      </c>
    </row>
    <row r="539" spans="1:8" ht="15.75" x14ac:dyDescent="0.25">
      <c r="A539" s="24" t="s">
        <v>500</v>
      </c>
      <c r="B539" s="25">
        <v>152</v>
      </c>
      <c r="C539" s="25">
        <v>1233.395</v>
      </c>
      <c r="D539" s="30" t="s">
        <v>31</v>
      </c>
      <c r="E539" s="30" t="s">
        <v>31</v>
      </c>
      <c r="F539" s="39">
        <v>95.76</v>
      </c>
      <c r="G539" s="25">
        <v>95.76</v>
      </c>
      <c r="H539">
        <f>IF(F539=G539,1,0)</f>
        <v>1</v>
      </c>
    </row>
    <row r="540" spans="1:8" ht="15.75" x14ac:dyDescent="0.25">
      <c r="A540" s="24" t="s">
        <v>503</v>
      </c>
      <c r="B540" s="25">
        <v>179</v>
      </c>
      <c r="C540" s="25">
        <v>1144.3979999999999</v>
      </c>
      <c r="D540" s="30" t="s">
        <v>31</v>
      </c>
      <c r="E540" s="30" t="s">
        <v>31</v>
      </c>
      <c r="F540" s="39">
        <v>112.77</v>
      </c>
      <c r="G540" s="25">
        <v>112.77</v>
      </c>
      <c r="H540">
        <f>IF(F540=G540,1,0)</f>
        <v>1</v>
      </c>
    </row>
    <row r="541" spans="1:8" ht="15.75" x14ac:dyDescent="0.25">
      <c r="A541" s="24" t="s">
        <v>503</v>
      </c>
      <c r="B541" s="25">
        <v>179</v>
      </c>
      <c r="C541" s="25">
        <v>1150.25</v>
      </c>
      <c r="D541" s="30" t="s">
        <v>31</v>
      </c>
      <c r="E541" s="30" t="s">
        <v>31</v>
      </c>
      <c r="F541" s="39">
        <v>112.77</v>
      </c>
      <c r="G541" s="25">
        <v>112.77</v>
      </c>
      <c r="H541">
        <f>IF(F541=G541,1,0)</f>
        <v>1</v>
      </c>
    </row>
    <row r="542" spans="1:8" ht="15.75" x14ac:dyDescent="0.25">
      <c r="A542" s="24" t="s">
        <v>503</v>
      </c>
      <c r="B542" s="25">
        <v>180</v>
      </c>
      <c r="C542" s="25">
        <v>1157.6579999999999</v>
      </c>
      <c r="D542" s="30" t="s">
        <v>31</v>
      </c>
      <c r="E542" s="30" t="s">
        <v>31</v>
      </c>
      <c r="F542" s="39">
        <v>113.4</v>
      </c>
      <c r="G542" s="25">
        <v>113.4</v>
      </c>
      <c r="H542">
        <f>IF(F542=G542,1,0)</f>
        <v>1</v>
      </c>
    </row>
    <row r="543" spans="1:8" ht="15.75" x14ac:dyDescent="0.25">
      <c r="A543" s="24" t="s">
        <v>507</v>
      </c>
      <c r="B543" s="25">
        <v>55</v>
      </c>
      <c r="C543" s="25">
        <v>353.16</v>
      </c>
      <c r="D543" s="30" t="s">
        <v>31</v>
      </c>
      <c r="E543" s="30" t="s">
        <v>31</v>
      </c>
      <c r="F543" s="39">
        <v>34.65</v>
      </c>
      <c r="G543" s="25">
        <v>34.65</v>
      </c>
      <c r="H543">
        <f>IF(F543=G543,1,0)</f>
        <v>1</v>
      </c>
    </row>
    <row r="544" spans="1:8" ht="15.75" x14ac:dyDescent="0.25">
      <c r="A544" s="24" t="s">
        <v>29</v>
      </c>
      <c r="B544" s="25">
        <v>160</v>
      </c>
      <c r="C544" s="25">
        <v>886.62</v>
      </c>
      <c r="D544" s="30" t="s">
        <v>31</v>
      </c>
      <c r="E544" s="30" t="s">
        <v>31</v>
      </c>
      <c r="F544" s="39">
        <v>100.8</v>
      </c>
      <c r="G544" s="25">
        <v>100.8</v>
      </c>
      <c r="H544">
        <f>IF(F544=G544,1,0)</f>
        <v>1</v>
      </c>
    </row>
    <row r="545" spans="1:8" ht="15.75" x14ac:dyDescent="0.25">
      <c r="A545" s="24" t="s">
        <v>493</v>
      </c>
      <c r="B545" s="25">
        <v>159</v>
      </c>
      <c r="C545" s="25">
        <v>859.28099999999995</v>
      </c>
      <c r="D545" s="30" t="s">
        <v>31</v>
      </c>
      <c r="E545" s="30" t="s">
        <v>31</v>
      </c>
      <c r="F545" s="39">
        <v>100.17</v>
      </c>
      <c r="G545" s="25">
        <v>100.17</v>
      </c>
      <c r="H545">
        <f>IF(F545=G545,1,0)</f>
        <v>1</v>
      </c>
    </row>
    <row r="546" spans="1:8" ht="15.75" x14ac:dyDescent="0.25">
      <c r="A546" s="24" t="s">
        <v>493</v>
      </c>
      <c r="B546" s="25">
        <v>30</v>
      </c>
      <c r="C546" s="25">
        <v>243.5</v>
      </c>
      <c r="D546" s="30" t="s">
        <v>31</v>
      </c>
      <c r="E546" s="30" t="s">
        <v>31</v>
      </c>
      <c r="F546" s="39">
        <v>18.899999999999999</v>
      </c>
      <c r="G546" s="25">
        <v>18.899999999999999</v>
      </c>
      <c r="H546">
        <f>IF(F546=G546,1,0)</f>
        <v>1</v>
      </c>
    </row>
  </sheetData>
  <autoFilter ref="A1:H546">
    <sortState ref="A2:H546">
      <sortCondition sortBy="cellColor" ref="H1:H546" dxfId="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C20"/>
  <sheetViews>
    <sheetView workbookViewId="0">
      <selection activeCell="C6" sqref="C6"/>
    </sheetView>
  </sheetViews>
  <sheetFormatPr baseColWidth="10" defaultRowHeight="15" x14ac:dyDescent="0.25"/>
  <cols>
    <col min="1" max="3" width="18.85546875" customWidth="1"/>
  </cols>
  <sheetData>
    <row r="1" spans="1:3" s="33" customFormat="1" x14ac:dyDescent="0.25">
      <c r="A1" s="32" t="s">
        <v>8</v>
      </c>
      <c r="B1" s="32" t="s">
        <v>9</v>
      </c>
      <c r="C1" s="32" t="s">
        <v>514</v>
      </c>
    </row>
    <row r="2" spans="1:3" x14ac:dyDescent="0.25">
      <c r="A2" s="31" t="s">
        <v>12</v>
      </c>
      <c r="B2" s="31" t="s">
        <v>11</v>
      </c>
      <c r="C2" s="31">
        <v>0.71</v>
      </c>
    </row>
    <row r="3" spans="1:3" x14ac:dyDescent="0.25">
      <c r="A3" s="31" t="s">
        <v>12</v>
      </c>
      <c r="B3" s="31" t="s">
        <v>14</v>
      </c>
      <c r="C3" s="31">
        <v>0.71</v>
      </c>
    </row>
    <row r="4" spans="1:3" x14ac:dyDescent="0.25">
      <c r="A4" s="31" t="s">
        <v>12</v>
      </c>
      <c r="B4" s="31" t="s">
        <v>19</v>
      </c>
      <c r="C4" s="31">
        <v>0.71</v>
      </c>
    </row>
    <row r="5" spans="1:3" x14ac:dyDescent="0.25">
      <c r="A5" s="31" t="s">
        <v>12</v>
      </c>
      <c r="B5" s="31" t="s">
        <v>27</v>
      </c>
      <c r="C5" s="31">
        <v>0.71</v>
      </c>
    </row>
    <row r="6" spans="1:3" x14ac:dyDescent="0.25">
      <c r="A6" s="31" t="s">
        <v>31</v>
      </c>
      <c r="B6" s="31" t="s">
        <v>31</v>
      </c>
      <c r="C6" s="31">
        <v>0.63</v>
      </c>
    </row>
    <row r="7" spans="1:3" ht="25.5" x14ac:dyDescent="0.25">
      <c r="A7" s="31" t="s">
        <v>115</v>
      </c>
      <c r="B7" s="31" t="s">
        <v>115</v>
      </c>
      <c r="C7" s="31">
        <v>1.2</v>
      </c>
    </row>
    <row r="8" spans="1:3" x14ac:dyDescent="0.25">
      <c r="A8" s="31" t="s">
        <v>119</v>
      </c>
      <c r="B8" s="31" t="s">
        <v>119</v>
      </c>
      <c r="C8" s="31">
        <v>0.71</v>
      </c>
    </row>
    <row r="9" spans="1:3" ht="25.5" x14ac:dyDescent="0.25">
      <c r="A9" s="31" t="s">
        <v>484</v>
      </c>
      <c r="B9" s="31" t="s">
        <v>484</v>
      </c>
      <c r="C9" s="31">
        <v>0.56999999999999995</v>
      </c>
    </row>
    <row r="10" spans="1:3" x14ac:dyDescent="0.25">
      <c r="A10" s="31" t="s">
        <v>33</v>
      </c>
      <c r="B10" s="31" t="s">
        <v>34</v>
      </c>
      <c r="C10" s="31">
        <v>24</v>
      </c>
    </row>
    <row r="11" spans="1:3" ht="25.5" x14ac:dyDescent="0.25">
      <c r="A11" s="31" t="s">
        <v>33</v>
      </c>
      <c r="B11" s="31" t="s">
        <v>39</v>
      </c>
      <c r="C11" s="31">
        <v>24</v>
      </c>
    </row>
    <row r="12" spans="1:3" ht="25.5" x14ac:dyDescent="0.25">
      <c r="A12" s="31" t="s">
        <v>41</v>
      </c>
      <c r="B12" s="31" t="s">
        <v>42</v>
      </c>
      <c r="C12" s="31">
        <v>24</v>
      </c>
    </row>
    <row r="13" spans="1:3" ht="25.5" x14ac:dyDescent="0.25">
      <c r="A13" s="31" t="s">
        <v>41</v>
      </c>
      <c r="B13" s="31" t="s">
        <v>48</v>
      </c>
      <c r="C13" s="31">
        <v>24</v>
      </c>
    </row>
    <row r="14" spans="1:3" ht="25.5" x14ac:dyDescent="0.25">
      <c r="A14" s="31" t="s">
        <v>41</v>
      </c>
      <c r="B14" s="31" t="s">
        <v>44</v>
      </c>
      <c r="C14" s="31">
        <v>24</v>
      </c>
    </row>
    <row r="15" spans="1:3" ht="38.25" x14ac:dyDescent="0.25">
      <c r="A15" s="31" t="s">
        <v>41</v>
      </c>
      <c r="B15" s="31" t="s">
        <v>53</v>
      </c>
      <c r="C15" s="31">
        <v>24</v>
      </c>
    </row>
    <row r="16" spans="1:3" ht="25.5" x14ac:dyDescent="0.25">
      <c r="A16" s="31" t="s">
        <v>41</v>
      </c>
      <c r="B16" s="31" t="s">
        <v>130</v>
      </c>
      <c r="C16" s="31">
        <v>24</v>
      </c>
    </row>
    <row r="17" spans="1:3" ht="25.5" x14ac:dyDescent="0.25">
      <c r="A17" s="31" t="s">
        <v>41</v>
      </c>
      <c r="B17" s="31" t="s">
        <v>50</v>
      </c>
      <c r="C17" s="31">
        <v>60</v>
      </c>
    </row>
    <row r="18" spans="1:3" x14ac:dyDescent="0.25">
      <c r="A18" s="31" t="s">
        <v>41</v>
      </c>
      <c r="B18" s="31" t="s">
        <v>103</v>
      </c>
      <c r="C18" s="31">
        <v>40</v>
      </c>
    </row>
    <row r="19" spans="1:3" x14ac:dyDescent="0.25">
      <c r="A19" s="31" t="s">
        <v>36</v>
      </c>
      <c r="B19" s="31" t="s">
        <v>36</v>
      </c>
      <c r="C19" s="31">
        <v>5</v>
      </c>
    </row>
    <row r="20" spans="1:3" ht="25.5" x14ac:dyDescent="0.25">
      <c r="A20" s="31" t="s">
        <v>123</v>
      </c>
      <c r="B20" s="31" t="s">
        <v>123</v>
      </c>
      <c r="C20" s="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 XING SHENG  (3)</vt:lpstr>
      <vt:lpstr>TEST</vt:lpstr>
      <vt:lpstr>COEFF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TPONT HAMLIL</dc:creator>
  <cp:lastModifiedBy>TPONT HAMLIL</cp:lastModifiedBy>
  <dcterms:created xsi:type="dcterms:W3CDTF">2026-06-21T08:57:46Z</dcterms:created>
  <dcterms:modified xsi:type="dcterms:W3CDTF">2026-06-21T09:54:36Z</dcterms:modified>
</cp:coreProperties>
</file>